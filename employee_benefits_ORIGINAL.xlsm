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entinLEFEVRE\Documents\actuarial_excel_package\"/>
    </mc:Choice>
  </mc:AlternateContent>
  <xr:revisionPtr revIDLastSave="0" documentId="13_ncr:1_{4BC5CDE6-2418-40B6-A53B-3600A278C9F4}" xr6:coauthVersionLast="47" xr6:coauthVersionMax="47" xr10:uidLastSave="{00000000-0000-0000-0000-000000000000}"/>
  <bookViews>
    <workbookView xWindow="-120" yWindow="-120" windowWidth="29040" windowHeight="15840" activeTab="2" xr2:uid="{FCCD97DC-9B12-420A-9B3A-27E9D0CE36EE}"/>
  </bookViews>
  <sheets>
    <sheet name="life_table" sheetId="3" r:id="rId1"/>
    <sheet name="_life_table" sheetId="1" state="hidden" r:id="rId2"/>
    <sheet name="exampl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2" i="1"/>
  <c r="B3" i="1"/>
  <c r="G3" i="1" s="1"/>
  <c r="C3" i="1"/>
  <c r="D3" i="1"/>
  <c r="H3" i="1" s="1"/>
  <c r="E3" i="1"/>
  <c r="B4" i="1"/>
  <c r="G4" i="1" s="1"/>
  <c r="C4" i="1"/>
  <c r="D4" i="1"/>
  <c r="H4" i="1" s="1"/>
  <c r="E4" i="1"/>
  <c r="B5" i="1"/>
  <c r="G5" i="1" s="1"/>
  <c r="C5" i="1"/>
  <c r="D5" i="1"/>
  <c r="H5" i="1" s="1"/>
  <c r="E5" i="1"/>
  <c r="B6" i="1"/>
  <c r="G6" i="1" s="1"/>
  <c r="C6" i="1"/>
  <c r="D6" i="1"/>
  <c r="H6" i="1" s="1"/>
  <c r="E6" i="1"/>
  <c r="B7" i="1"/>
  <c r="G7" i="1" s="1"/>
  <c r="C7" i="1"/>
  <c r="D7" i="1"/>
  <c r="H7" i="1" s="1"/>
  <c r="E7" i="1"/>
  <c r="B8" i="1"/>
  <c r="G8" i="1" s="1"/>
  <c r="C8" i="1"/>
  <c r="D8" i="1"/>
  <c r="H8" i="1" s="1"/>
  <c r="E8" i="1"/>
  <c r="B9" i="1"/>
  <c r="G9" i="1" s="1"/>
  <c r="C9" i="1"/>
  <c r="D9" i="1"/>
  <c r="H9" i="1" s="1"/>
  <c r="E9" i="1"/>
  <c r="B10" i="1"/>
  <c r="G10" i="1" s="1"/>
  <c r="C10" i="1"/>
  <c r="D10" i="1"/>
  <c r="H10" i="1" s="1"/>
  <c r="E10" i="1"/>
  <c r="B11" i="1"/>
  <c r="G11" i="1" s="1"/>
  <c r="C11" i="1"/>
  <c r="D11" i="1"/>
  <c r="H11" i="1" s="1"/>
  <c r="E11" i="1"/>
  <c r="B12" i="1"/>
  <c r="G12" i="1" s="1"/>
  <c r="C12" i="1"/>
  <c r="D12" i="1"/>
  <c r="H12" i="1" s="1"/>
  <c r="E12" i="1"/>
  <c r="B13" i="1"/>
  <c r="G13" i="1" s="1"/>
  <c r="C13" i="1"/>
  <c r="D13" i="1"/>
  <c r="H13" i="1" s="1"/>
  <c r="E13" i="1"/>
  <c r="B14" i="1"/>
  <c r="G14" i="1" s="1"/>
  <c r="C14" i="1"/>
  <c r="D14" i="1"/>
  <c r="H14" i="1" s="1"/>
  <c r="E14" i="1"/>
  <c r="B15" i="1"/>
  <c r="G15" i="1" s="1"/>
  <c r="C15" i="1"/>
  <c r="D15" i="1"/>
  <c r="H15" i="1" s="1"/>
  <c r="E15" i="1"/>
  <c r="B16" i="1"/>
  <c r="G16" i="1" s="1"/>
  <c r="C16" i="1"/>
  <c r="D16" i="1"/>
  <c r="H16" i="1" s="1"/>
  <c r="E16" i="1"/>
  <c r="B17" i="1"/>
  <c r="G17" i="1" s="1"/>
  <c r="C17" i="1"/>
  <c r="D17" i="1"/>
  <c r="H17" i="1" s="1"/>
  <c r="E17" i="1"/>
  <c r="B18" i="1"/>
  <c r="G18" i="1" s="1"/>
  <c r="C18" i="1"/>
  <c r="D18" i="1"/>
  <c r="H18" i="1" s="1"/>
  <c r="E18" i="1"/>
  <c r="B19" i="1"/>
  <c r="G19" i="1" s="1"/>
  <c r="C19" i="1"/>
  <c r="D19" i="1"/>
  <c r="H19" i="1" s="1"/>
  <c r="E19" i="1"/>
  <c r="B20" i="1"/>
  <c r="G20" i="1" s="1"/>
  <c r="C20" i="1"/>
  <c r="D20" i="1"/>
  <c r="H20" i="1" s="1"/>
  <c r="E20" i="1"/>
  <c r="B21" i="1"/>
  <c r="G21" i="1" s="1"/>
  <c r="C21" i="1"/>
  <c r="D21" i="1"/>
  <c r="H21" i="1" s="1"/>
  <c r="E21" i="1"/>
  <c r="B22" i="1"/>
  <c r="G22" i="1" s="1"/>
  <c r="C22" i="1"/>
  <c r="D22" i="1"/>
  <c r="H22" i="1" s="1"/>
  <c r="E22" i="1"/>
  <c r="B23" i="1"/>
  <c r="G23" i="1" s="1"/>
  <c r="C23" i="1"/>
  <c r="D23" i="1"/>
  <c r="H23" i="1" s="1"/>
  <c r="E23" i="1"/>
  <c r="B24" i="1"/>
  <c r="G24" i="1" s="1"/>
  <c r="C24" i="1"/>
  <c r="D24" i="1"/>
  <c r="H24" i="1" s="1"/>
  <c r="E24" i="1"/>
  <c r="B25" i="1"/>
  <c r="G25" i="1" s="1"/>
  <c r="C25" i="1"/>
  <c r="D25" i="1"/>
  <c r="H25" i="1" s="1"/>
  <c r="E25" i="1"/>
  <c r="B26" i="1"/>
  <c r="G26" i="1" s="1"/>
  <c r="C26" i="1"/>
  <c r="D26" i="1"/>
  <c r="H26" i="1" s="1"/>
  <c r="E26" i="1"/>
  <c r="B27" i="1"/>
  <c r="G27" i="1" s="1"/>
  <c r="C27" i="1"/>
  <c r="D27" i="1"/>
  <c r="H27" i="1" s="1"/>
  <c r="E27" i="1"/>
  <c r="B28" i="1"/>
  <c r="G28" i="1" s="1"/>
  <c r="C28" i="1"/>
  <c r="D28" i="1"/>
  <c r="H28" i="1" s="1"/>
  <c r="E28" i="1"/>
  <c r="B29" i="1"/>
  <c r="G29" i="1" s="1"/>
  <c r="C29" i="1"/>
  <c r="D29" i="1"/>
  <c r="H29" i="1" s="1"/>
  <c r="E29" i="1"/>
  <c r="B30" i="1"/>
  <c r="G30" i="1" s="1"/>
  <c r="C30" i="1"/>
  <c r="D30" i="1"/>
  <c r="H30" i="1" s="1"/>
  <c r="E30" i="1"/>
  <c r="B31" i="1"/>
  <c r="G31" i="1" s="1"/>
  <c r="C31" i="1"/>
  <c r="D31" i="1"/>
  <c r="H31" i="1" s="1"/>
  <c r="E31" i="1"/>
  <c r="B32" i="1"/>
  <c r="G32" i="1" s="1"/>
  <c r="C32" i="1"/>
  <c r="D32" i="1"/>
  <c r="H32" i="1" s="1"/>
  <c r="E32" i="1"/>
  <c r="B33" i="1"/>
  <c r="G33" i="1" s="1"/>
  <c r="C33" i="1"/>
  <c r="D33" i="1"/>
  <c r="H33" i="1" s="1"/>
  <c r="E33" i="1"/>
  <c r="B34" i="1"/>
  <c r="G34" i="1" s="1"/>
  <c r="C34" i="1"/>
  <c r="D34" i="1"/>
  <c r="H34" i="1" s="1"/>
  <c r="E34" i="1"/>
  <c r="B35" i="1"/>
  <c r="G35" i="1" s="1"/>
  <c r="C35" i="1"/>
  <c r="D35" i="1"/>
  <c r="H35" i="1" s="1"/>
  <c r="E35" i="1"/>
  <c r="B36" i="1"/>
  <c r="G36" i="1" s="1"/>
  <c r="C36" i="1"/>
  <c r="D36" i="1"/>
  <c r="H36" i="1" s="1"/>
  <c r="E36" i="1"/>
  <c r="B37" i="1"/>
  <c r="G37" i="1" s="1"/>
  <c r="C37" i="1"/>
  <c r="D37" i="1"/>
  <c r="H37" i="1" s="1"/>
  <c r="E37" i="1"/>
  <c r="B38" i="1"/>
  <c r="G38" i="1" s="1"/>
  <c r="C38" i="1"/>
  <c r="D38" i="1"/>
  <c r="H38" i="1" s="1"/>
  <c r="E38" i="1"/>
  <c r="B39" i="1"/>
  <c r="G39" i="1" s="1"/>
  <c r="C39" i="1"/>
  <c r="D39" i="1"/>
  <c r="H39" i="1" s="1"/>
  <c r="E39" i="1"/>
  <c r="B40" i="1"/>
  <c r="G40" i="1" s="1"/>
  <c r="C40" i="1"/>
  <c r="D40" i="1"/>
  <c r="H40" i="1" s="1"/>
  <c r="E40" i="1"/>
  <c r="B41" i="1"/>
  <c r="G41" i="1" s="1"/>
  <c r="C41" i="1"/>
  <c r="D41" i="1"/>
  <c r="H41" i="1" s="1"/>
  <c r="E41" i="1"/>
  <c r="B42" i="1"/>
  <c r="G42" i="1" s="1"/>
  <c r="C42" i="1"/>
  <c r="D42" i="1"/>
  <c r="H42" i="1" s="1"/>
  <c r="E42" i="1"/>
  <c r="B43" i="1"/>
  <c r="G43" i="1" s="1"/>
  <c r="C43" i="1"/>
  <c r="D43" i="1"/>
  <c r="H43" i="1" s="1"/>
  <c r="E43" i="1"/>
  <c r="B44" i="1"/>
  <c r="G44" i="1" s="1"/>
  <c r="C44" i="1"/>
  <c r="D44" i="1"/>
  <c r="H44" i="1" s="1"/>
  <c r="E44" i="1"/>
  <c r="B45" i="1"/>
  <c r="G45" i="1" s="1"/>
  <c r="C45" i="1"/>
  <c r="D45" i="1"/>
  <c r="H45" i="1" s="1"/>
  <c r="E45" i="1"/>
  <c r="B46" i="1"/>
  <c r="G46" i="1" s="1"/>
  <c r="C46" i="1"/>
  <c r="D46" i="1"/>
  <c r="H46" i="1" s="1"/>
  <c r="E46" i="1"/>
  <c r="B47" i="1"/>
  <c r="G47" i="1" s="1"/>
  <c r="C47" i="1"/>
  <c r="D47" i="1"/>
  <c r="H47" i="1" s="1"/>
  <c r="E47" i="1"/>
  <c r="B48" i="1"/>
  <c r="G48" i="1" s="1"/>
  <c r="C48" i="1"/>
  <c r="D48" i="1"/>
  <c r="H48" i="1" s="1"/>
  <c r="E48" i="1"/>
  <c r="B49" i="1"/>
  <c r="G49" i="1" s="1"/>
  <c r="C49" i="1"/>
  <c r="D49" i="1"/>
  <c r="H49" i="1" s="1"/>
  <c r="E49" i="1"/>
  <c r="B50" i="1"/>
  <c r="G50" i="1" s="1"/>
  <c r="C50" i="1"/>
  <c r="D50" i="1"/>
  <c r="H50" i="1" s="1"/>
  <c r="E50" i="1"/>
  <c r="B51" i="1"/>
  <c r="G51" i="1" s="1"/>
  <c r="C51" i="1"/>
  <c r="D51" i="1"/>
  <c r="H51" i="1" s="1"/>
  <c r="E51" i="1"/>
  <c r="B52" i="1"/>
  <c r="G52" i="1" s="1"/>
  <c r="C52" i="1"/>
  <c r="D52" i="1"/>
  <c r="H52" i="1" s="1"/>
  <c r="E52" i="1"/>
  <c r="B53" i="1"/>
  <c r="G53" i="1" s="1"/>
  <c r="C53" i="1"/>
  <c r="D53" i="1"/>
  <c r="H53" i="1" s="1"/>
  <c r="E53" i="1"/>
  <c r="B54" i="1"/>
  <c r="G54" i="1" s="1"/>
  <c r="C54" i="1"/>
  <c r="D54" i="1"/>
  <c r="H54" i="1" s="1"/>
  <c r="E54" i="1"/>
  <c r="B55" i="1"/>
  <c r="G55" i="1" s="1"/>
  <c r="C55" i="1"/>
  <c r="D55" i="1"/>
  <c r="H55" i="1" s="1"/>
  <c r="E55" i="1"/>
  <c r="B56" i="1"/>
  <c r="G56" i="1" s="1"/>
  <c r="C56" i="1"/>
  <c r="D56" i="1"/>
  <c r="H56" i="1" s="1"/>
  <c r="E56" i="1"/>
  <c r="B57" i="1"/>
  <c r="G57" i="1" s="1"/>
  <c r="C57" i="1"/>
  <c r="D57" i="1"/>
  <c r="H57" i="1" s="1"/>
  <c r="E57" i="1"/>
  <c r="B58" i="1"/>
  <c r="G58" i="1" s="1"/>
  <c r="C58" i="1"/>
  <c r="D58" i="1"/>
  <c r="H58" i="1" s="1"/>
  <c r="E58" i="1"/>
  <c r="B59" i="1"/>
  <c r="G59" i="1" s="1"/>
  <c r="C59" i="1"/>
  <c r="D59" i="1"/>
  <c r="H59" i="1" s="1"/>
  <c r="E59" i="1"/>
  <c r="B60" i="1"/>
  <c r="G60" i="1" s="1"/>
  <c r="C60" i="1"/>
  <c r="D60" i="1"/>
  <c r="H60" i="1" s="1"/>
  <c r="E60" i="1"/>
  <c r="B61" i="1"/>
  <c r="G61" i="1" s="1"/>
  <c r="C61" i="1"/>
  <c r="D61" i="1"/>
  <c r="H61" i="1" s="1"/>
  <c r="E61" i="1"/>
  <c r="B62" i="1"/>
  <c r="G62" i="1" s="1"/>
  <c r="C62" i="1"/>
  <c r="D62" i="1"/>
  <c r="H62" i="1" s="1"/>
  <c r="E62" i="1"/>
  <c r="B63" i="1"/>
  <c r="G63" i="1" s="1"/>
  <c r="C63" i="1"/>
  <c r="D63" i="1"/>
  <c r="H63" i="1" s="1"/>
  <c r="E63" i="1"/>
  <c r="B64" i="1"/>
  <c r="G64" i="1" s="1"/>
  <c r="C64" i="1"/>
  <c r="D64" i="1"/>
  <c r="H64" i="1" s="1"/>
  <c r="E64" i="1"/>
  <c r="B65" i="1"/>
  <c r="G65" i="1" s="1"/>
  <c r="C65" i="1"/>
  <c r="D65" i="1"/>
  <c r="H65" i="1" s="1"/>
  <c r="E65" i="1"/>
  <c r="B66" i="1"/>
  <c r="G66" i="1" s="1"/>
  <c r="C66" i="1"/>
  <c r="D66" i="1"/>
  <c r="H66" i="1" s="1"/>
  <c r="E66" i="1"/>
  <c r="B67" i="1"/>
  <c r="G67" i="1" s="1"/>
  <c r="C67" i="1"/>
  <c r="D67" i="1"/>
  <c r="H67" i="1" s="1"/>
  <c r="E67" i="1"/>
  <c r="B68" i="1"/>
  <c r="G68" i="1" s="1"/>
  <c r="C68" i="1"/>
  <c r="D68" i="1"/>
  <c r="H68" i="1" s="1"/>
  <c r="E68" i="1"/>
  <c r="B69" i="1"/>
  <c r="G69" i="1" s="1"/>
  <c r="C69" i="1"/>
  <c r="D69" i="1"/>
  <c r="H69" i="1" s="1"/>
  <c r="E69" i="1"/>
  <c r="B70" i="1"/>
  <c r="G70" i="1" s="1"/>
  <c r="C70" i="1"/>
  <c r="D70" i="1"/>
  <c r="H70" i="1" s="1"/>
  <c r="E70" i="1"/>
  <c r="B71" i="1"/>
  <c r="G71" i="1" s="1"/>
  <c r="C71" i="1"/>
  <c r="D71" i="1"/>
  <c r="H71" i="1" s="1"/>
  <c r="E71" i="1"/>
  <c r="B72" i="1"/>
  <c r="G72" i="1" s="1"/>
  <c r="C72" i="1"/>
  <c r="D72" i="1"/>
  <c r="H72" i="1" s="1"/>
  <c r="E72" i="1"/>
  <c r="B73" i="1"/>
  <c r="G73" i="1" s="1"/>
  <c r="C73" i="1"/>
  <c r="D73" i="1"/>
  <c r="H73" i="1" s="1"/>
  <c r="E73" i="1"/>
  <c r="B74" i="1"/>
  <c r="G74" i="1" s="1"/>
  <c r="C74" i="1"/>
  <c r="D74" i="1"/>
  <c r="H74" i="1" s="1"/>
  <c r="E74" i="1"/>
  <c r="B75" i="1"/>
  <c r="G75" i="1" s="1"/>
  <c r="C75" i="1"/>
  <c r="D75" i="1"/>
  <c r="H75" i="1" s="1"/>
  <c r="E75" i="1"/>
  <c r="B76" i="1"/>
  <c r="G76" i="1" s="1"/>
  <c r="C76" i="1"/>
  <c r="D76" i="1"/>
  <c r="H76" i="1" s="1"/>
  <c r="E76" i="1"/>
  <c r="B77" i="1"/>
  <c r="G77" i="1" s="1"/>
  <c r="C77" i="1"/>
  <c r="D77" i="1"/>
  <c r="H77" i="1" s="1"/>
  <c r="E77" i="1"/>
  <c r="B78" i="1"/>
  <c r="G78" i="1" s="1"/>
  <c r="C78" i="1"/>
  <c r="D78" i="1"/>
  <c r="H78" i="1" s="1"/>
  <c r="E78" i="1"/>
  <c r="B79" i="1"/>
  <c r="G79" i="1" s="1"/>
  <c r="C79" i="1"/>
  <c r="D79" i="1"/>
  <c r="H79" i="1" s="1"/>
  <c r="E79" i="1"/>
  <c r="B80" i="1"/>
  <c r="G80" i="1" s="1"/>
  <c r="C80" i="1"/>
  <c r="D80" i="1"/>
  <c r="H80" i="1" s="1"/>
  <c r="E80" i="1"/>
  <c r="B81" i="1"/>
  <c r="G81" i="1" s="1"/>
  <c r="C81" i="1"/>
  <c r="D81" i="1"/>
  <c r="H81" i="1" s="1"/>
  <c r="E81" i="1"/>
  <c r="B82" i="1"/>
  <c r="G82" i="1" s="1"/>
  <c r="C82" i="1"/>
  <c r="D82" i="1"/>
  <c r="H82" i="1" s="1"/>
  <c r="E82" i="1"/>
  <c r="B83" i="1"/>
  <c r="G83" i="1" s="1"/>
  <c r="C83" i="1"/>
  <c r="D83" i="1"/>
  <c r="H83" i="1" s="1"/>
  <c r="E83" i="1"/>
  <c r="B84" i="1"/>
  <c r="G84" i="1" s="1"/>
  <c r="C84" i="1"/>
  <c r="D84" i="1"/>
  <c r="H84" i="1" s="1"/>
  <c r="E84" i="1"/>
  <c r="B85" i="1"/>
  <c r="G85" i="1" s="1"/>
  <c r="C85" i="1"/>
  <c r="D85" i="1"/>
  <c r="H85" i="1" s="1"/>
  <c r="E85" i="1"/>
  <c r="B86" i="1"/>
  <c r="G86" i="1" s="1"/>
  <c r="C86" i="1"/>
  <c r="D86" i="1"/>
  <c r="H86" i="1" s="1"/>
  <c r="E86" i="1"/>
  <c r="B87" i="1"/>
  <c r="G87" i="1" s="1"/>
  <c r="C87" i="1"/>
  <c r="D87" i="1"/>
  <c r="H87" i="1" s="1"/>
  <c r="E87" i="1"/>
  <c r="B88" i="1"/>
  <c r="G88" i="1" s="1"/>
  <c r="C88" i="1"/>
  <c r="D88" i="1"/>
  <c r="H88" i="1" s="1"/>
  <c r="E88" i="1"/>
  <c r="B89" i="1"/>
  <c r="G89" i="1" s="1"/>
  <c r="C89" i="1"/>
  <c r="D89" i="1"/>
  <c r="H89" i="1" s="1"/>
  <c r="E89" i="1"/>
  <c r="B90" i="1"/>
  <c r="G90" i="1" s="1"/>
  <c r="C90" i="1"/>
  <c r="D90" i="1"/>
  <c r="H90" i="1" s="1"/>
  <c r="E90" i="1"/>
  <c r="B91" i="1"/>
  <c r="G91" i="1" s="1"/>
  <c r="C91" i="1"/>
  <c r="D91" i="1"/>
  <c r="H91" i="1" s="1"/>
  <c r="E91" i="1"/>
  <c r="B92" i="1"/>
  <c r="G92" i="1" s="1"/>
  <c r="C92" i="1"/>
  <c r="D92" i="1"/>
  <c r="H92" i="1" s="1"/>
  <c r="E92" i="1"/>
  <c r="B93" i="1"/>
  <c r="G93" i="1" s="1"/>
  <c r="C93" i="1"/>
  <c r="D93" i="1"/>
  <c r="H93" i="1" s="1"/>
  <c r="E93" i="1"/>
  <c r="B94" i="1"/>
  <c r="G94" i="1" s="1"/>
  <c r="C94" i="1"/>
  <c r="D94" i="1"/>
  <c r="H94" i="1" s="1"/>
  <c r="E94" i="1"/>
  <c r="B95" i="1"/>
  <c r="G95" i="1" s="1"/>
  <c r="C95" i="1"/>
  <c r="D95" i="1"/>
  <c r="H95" i="1" s="1"/>
  <c r="E95" i="1"/>
  <c r="B96" i="1"/>
  <c r="G96" i="1" s="1"/>
  <c r="C96" i="1"/>
  <c r="D96" i="1"/>
  <c r="H96" i="1" s="1"/>
  <c r="E96" i="1"/>
  <c r="B97" i="1"/>
  <c r="G97" i="1" s="1"/>
  <c r="C97" i="1"/>
  <c r="D97" i="1"/>
  <c r="H97" i="1" s="1"/>
  <c r="E97" i="1"/>
  <c r="B98" i="1"/>
  <c r="G98" i="1" s="1"/>
  <c r="C98" i="1"/>
  <c r="D98" i="1"/>
  <c r="H98" i="1" s="1"/>
  <c r="E98" i="1"/>
  <c r="B99" i="1"/>
  <c r="G99" i="1" s="1"/>
  <c r="C99" i="1"/>
  <c r="D99" i="1"/>
  <c r="H99" i="1" s="1"/>
  <c r="E99" i="1"/>
  <c r="B100" i="1"/>
  <c r="G100" i="1" s="1"/>
  <c r="C100" i="1"/>
  <c r="D100" i="1"/>
  <c r="H100" i="1" s="1"/>
  <c r="E100" i="1"/>
  <c r="B101" i="1"/>
  <c r="G101" i="1" s="1"/>
  <c r="C101" i="1"/>
  <c r="D101" i="1"/>
  <c r="H101" i="1" s="1"/>
  <c r="E101" i="1"/>
  <c r="B102" i="1"/>
  <c r="G102" i="1" s="1"/>
  <c r="C102" i="1"/>
  <c r="D102" i="1"/>
  <c r="H102" i="1" s="1"/>
  <c r="E102" i="1"/>
  <c r="B103" i="1"/>
  <c r="G103" i="1" s="1"/>
  <c r="C103" i="1"/>
  <c r="D103" i="1"/>
  <c r="H103" i="1" s="1"/>
  <c r="E103" i="1"/>
  <c r="B104" i="1"/>
  <c r="G104" i="1" s="1"/>
  <c r="C104" i="1"/>
  <c r="D104" i="1"/>
  <c r="H104" i="1" s="1"/>
  <c r="E104" i="1"/>
  <c r="B105" i="1"/>
  <c r="G105" i="1" s="1"/>
  <c r="C105" i="1"/>
  <c r="D105" i="1"/>
  <c r="H105" i="1" s="1"/>
  <c r="E105" i="1"/>
  <c r="B106" i="1"/>
  <c r="G106" i="1" s="1"/>
  <c r="C106" i="1"/>
  <c r="D106" i="1"/>
  <c r="H106" i="1" s="1"/>
  <c r="E106" i="1"/>
  <c r="B107" i="1"/>
  <c r="G107" i="1" s="1"/>
  <c r="C107" i="1"/>
  <c r="D107" i="1"/>
  <c r="H107" i="1" s="1"/>
  <c r="E107" i="1"/>
  <c r="B108" i="1"/>
  <c r="G108" i="1" s="1"/>
  <c r="C108" i="1"/>
  <c r="D108" i="1"/>
  <c r="H108" i="1" s="1"/>
  <c r="E108" i="1"/>
  <c r="B109" i="1"/>
  <c r="G109" i="1" s="1"/>
  <c r="C109" i="1"/>
  <c r="D109" i="1"/>
  <c r="H109" i="1" s="1"/>
  <c r="E109" i="1"/>
  <c r="B110" i="1"/>
  <c r="G110" i="1" s="1"/>
  <c r="C110" i="1"/>
  <c r="D110" i="1"/>
  <c r="H110" i="1" s="1"/>
  <c r="E110" i="1"/>
  <c r="B111" i="1"/>
  <c r="G111" i="1" s="1"/>
  <c r="C111" i="1"/>
  <c r="D111" i="1"/>
  <c r="H111" i="1" s="1"/>
  <c r="E111" i="1"/>
  <c r="B112" i="1"/>
  <c r="G112" i="1" s="1"/>
  <c r="C112" i="1"/>
  <c r="D112" i="1"/>
  <c r="H112" i="1" s="1"/>
  <c r="E112" i="1"/>
  <c r="B113" i="1"/>
  <c r="G113" i="1" s="1"/>
  <c r="C113" i="1"/>
  <c r="D113" i="1"/>
  <c r="H113" i="1" s="1"/>
  <c r="E113" i="1"/>
  <c r="B114" i="1"/>
  <c r="G114" i="1" s="1"/>
  <c r="C114" i="1"/>
  <c r="D114" i="1"/>
  <c r="H114" i="1" s="1"/>
  <c r="E114" i="1"/>
  <c r="B115" i="1"/>
  <c r="G115" i="1" s="1"/>
  <c r="C115" i="1"/>
  <c r="D115" i="1"/>
  <c r="H115" i="1" s="1"/>
  <c r="E115" i="1"/>
  <c r="B116" i="1"/>
  <c r="G116" i="1" s="1"/>
  <c r="C116" i="1"/>
  <c r="D116" i="1"/>
  <c r="H116" i="1" s="1"/>
  <c r="E116" i="1"/>
  <c r="B117" i="1"/>
  <c r="G117" i="1" s="1"/>
  <c r="C117" i="1"/>
  <c r="D117" i="1"/>
  <c r="H117" i="1" s="1"/>
  <c r="E117" i="1"/>
  <c r="B118" i="1"/>
  <c r="G118" i="1" s="1"/>
  <c r="C118" i="1"/>
  <c r="D118" i="1"/>
  <c r="H118" i="1" s="1"/>
  <c r="E118" i="1"/>
  <c r="B119" i="1"/>
  <c r="G119" i="1" s="1"/>
  <c r="C119" i="1"/>
  <c r="D119" i="1"/>
  <c r="H119" i="1" s="1"/>
  <c r="E119" i="1"/>
  <c r="B120" i="1"/>
  <c r="G120" i="1" s="1"/>
  <c r="C120" i="1"/>
  <c r="D120" i="1"/>
  <c r="H120" i="1" s="1"/>
  <c r="E120" i="1"/>
  <c r="B121" i="1"/>
  <c r="G121" i="1" s="1"/>
  <c r="C121" i="1"/>
  <c r="D121" i="1"/>
  <c r="H121" i="1" s="1"/>
  <c r="E121" i="1"/>
  <c r="B122" i="1"/>
  <c r="G122" i="1" s="1"/>
  <c r="C122" i="1"/>
  <c r="D122" i="1"/>
  <c r="H122" i="1" s="1"/>
  <c r="E122" i="1"/>
  <c r="C2" i="1"/>
  <c r="D2" i="1"/>
  <c r="E2" i="1"/>
  <c r="B2" i="1"/>
  <c r="C34" i="2" a="1"/>
  <c r="C20" i="2" a="1"/>
  <c r="C19" i="2" a="1"/>
  <c r="C55" i="2" a="1"/>
  <c r="C54" i="2" a="1"/>
  <c r="C44" i="2" a="1"/>
  <c r="C45" i="2" a="1"/>
  <c r="C26" i="2" a="1"/>
  <c r="C12" i="2" a="1"/>
  <c r="C5" i="2" a="1"/>
  <c r="C44" i="2" l="1"/>
  <c r="C19" i="2"/>
  <c r="C45" i="2"/>
  <c r="C20" i="2"/>
  <c r="C54" i="2"/>
  <c r="C26" i="2"/>
  <c r="C5" i="2"/>
  <c r="C12" i="2"/>
  <c r="C34" i="2"/>
  <c r="C55" i="2"/>
  <c r="G2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<sst xmlns="http://schemas.openxmlformats.org/spreadsheetml/2006/main" count="74" uniqueCount="35">
  <si>
    <t>age</t>
  </si>
  <si>
    <t>x</t>
  </si>
  <si>
    <t>i</t>
  </si>
  <si>
    <t>n</t>
  </si>
  <si>
    <t>table</t>
  </si>
  <si>
    <r>
      <t>Example 3: Compute the survival and death probability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l</t>
    </r>
    <r>
      <rPr>
        <b/>
        <vertAlign val="subscript"/>
        <sz val="11"/>
        <color theme="1"/>
        <rFont val="Calibri"/>
        <family val="2"/>
      </rPr>
      <t>x+n</t>
    </r>
    <r>
      <rPr>
        <b/>
        <sz val="11"/>
        <color theme="1"/>
        <rFont val="Calibri"/>
        <family val="2"/>
      </rPr>
      <t>/l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and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q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1 -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)</t>
    </r>
  </si>
  <si>
    <t>MR</t>
  </si>
  <si>
    <t>FR</t>
  </si>
  <si>
    <t>MK</t>
  </si>
  <si>
    <t>FK</t>
  </si>
  <si>
    <t>k</t>
  </si>
  <si>
    <t>s</t>
  </si>
  <si>
    <t>g</t>
  </si>
  <si>
    <t>c</t>
  </si>
  <si>
    <t>XR</t>
  </si>
  <si>
    <t>XK</t>
  </si>
  <si>
    <t>FK'</t>
  </si>
  <si>
    <r>
      <t>Example 1: Get the number of survivors at age x (i.e. read the mortality table and return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</si>
  <si>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2: Get the number of deaths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d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- l</t>
    </r>
    <r>
      <rPr>
        <b/>
        <vertAlign val="subscript"/>
        <sz val="11"/>
        <color theme="1"/>
        <rFont val="Calibri"/>
        <family val="2"/>
        <scheme val="minor"/>
      </rPr>
      <t>x+n</t>
    </r>
    <r>
      <rPr>
        <b/>
        <sz val="11"/>
        <color theme="1"/>
        <rFont val="Calibri"/>
        <family val="2"/>
        <scheme val="minor"/>
      </rPr>
      <t>)</t>
    </r>
  </si>
  <si>
    <t>freq</t>
  </si>
  <si>
    <t>beginning</t>
  </si>
  <si>
    <r>
      <t>Example 5: Compute the present value of a pure endowment between age x and x+n with guaranteed interest rate i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x </t>
    </r>
    <r>
      <rPr>
        <b/>
        <sz val="11"/>
        <color theme="1"/>
        <rFont val="Calibri"/>
        <family val="2"/>
        <scheme val="minor"/>
      </rPr>
      <t>/ (1+i)</t>
    </r>
    <r>
      <rPr>
        <b/>
        <vertAlign val="super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</si>
  <si>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Example 6: Compute the present value of a term/whole life annuity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, 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,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</si>
  <si>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7: Compute the present value of a term/whole life insurance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</si>
  <si>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4: Compute the expected remaining lifetime of an individual aged x 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</si>
  <si>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t>Survivors</t>
  </si>
  <si>
    <t>Deaths</t>
  </si>
  <si>
    <t>Survival probability</t>
  </si>
  <si>
    <t>Death probability</t>
  </si>
  <si>
    <t>Expected remaining lifetime</t>
  </si>
  <si>
    <t>Pure endowment</t>
  </si>
  <si>
    <t>Whole life annuity</t>
  </si>
  <si>
    <t>Term annuity</t>
  </si>
  <si>
    <t>Whole life insurance</t>
  </si>
  <si>
    <t>Term 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</si>
</sst>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9" fontId="0" fillId="2" borderId="3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6" xfId="0" applyFill="1" applyBorder="1"/>
    <xf numFmtId="0" fontId="1" fillId="0" borderId="0" xfId="0" applyFon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64" fontId="0" fillId="3" borderId="5" xfId="1" applyNumberFormat="1" applyFont="1" applyFill="1" applyBorder="1"/>
    <xf numFmtId="165" fontId="0" fillId="3" borderId="5" xfId="1" applyNumberFormat="1" applyFont="1" applyFill="1" applyBorder="1"/>
    <xf numFmtId="10" fontId="0" fillId="3" borderId="2" xfId="2" applyNumberFormat="1" applyFont="1" applyFill="1" applyBorder="1"/>
    <xf numFmtId="10" fontId="0" fillId="3" borderId="4" xfId="2" applyNumberFormat="1" applyFont="1" applyFill="1" applyBorder="1"/>
    <xf numFmtId="43" fontId="0" fillId="3" borderId="5" xfId="1" applyNumberFormat="1" applyFont="1" applyFill="1" applyBorder="1"/>
    <xf numFmtId="2" fontId="0" fillId="3" borderId="2" xfId="0" applyNumberFormat="1" applyFill="1" applyBorder="1"/>
    <xf numFmtId="2" fontId="0" fillId="3" borderId="4" xfId="0" applyNumberForma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7</xdr:row>
      <xdr:rowOff>180975</xdr:rowOff>
    </xdr:from>
    <xdr:to>
      <xdr:col>17</xdr:col>
      <xdr:colOff>33559</xdr:colOff>
      <xdr:row>18</xdr:row>
      <xdr:rowOff>114301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F903D33F-56A9-4CBC-B2AF-30DB3A37C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1514475"/>
          <a:ext cx="5005609" cy="20288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0D56-B089-4C61-A839-21BF3C62A9EB}">
  <sheetPr codeName="Sheet3"/>
  <dimension ref="A1:H122"/>
  <sheetViews>
    <sheetView workbookViewId="0">
      <selection activeCell="B3" sqref="B3"/>
    </sheetView>
  </sheetViews>
  <sheetFormatPr defaultRowHeight="15" x14ac:dyDescent="0.25"/>
  <cols>
    <col min="1" max="1" width="9.140625" style="12"/>
    <col min="2" max="16384" width="9.140625" style="10"/>
  </cols>
  <sheetData>
    <row r="1" spans="1:8" s="11" customFormat="1" x14ac:dyDescent="0.25">
      <c r="A1" s="11" t="s">
        <v>0</v>
      </c>
      <c r="B1" s="11" t="s">
        <v>6</v>
      </c>
      <c r="C1" s="11" t="s">
        <v>7</v>
      </c>
      <c r="D1" s="11" t="s">
        <v>8</v>
      </c>
      <c r="E1" s="11" t="s">
        <v>9</v>
      </c>
      <c r="F1" s="11" t="s">
        <v>16</v>
      </c>
      <c r="G1" s="11" t="s">
        <v>14</v>
      </c>
      <c r="H1" s="11" t="s">
        <v>15</v>
      </c>
    </row>
    <row r="2" spans="1:8" x14ac:dyDescent="0.25">
      <c r="A2" s="12">
        <v>0</v>
      </c>
      <c r="B2" s="10">
        <v>1000000</v>
      </c>
      <c r="C2" s="10">
        <v>1000000</v>
      </c>
      <c r="D2" s="10">
        <v>1000000</v>
      </c>
      <c r="E2" s="10">
        <v>1000000</v>
      </c>
      <c r="F2" s="10">
        <v>1000000</v>
      </c>
      <c r="G2" s="10">
        <v>1000000</v>
      </c>
      <c r="H2" s="10">
        <v>1000000</v>
      </c>
    </row>
    <row r="3" spans="1:8" x14ac:dyDescent="0.25">
      <c r="A3" s="12">
        <v>1</v>
      </c>
      <c r="B3" s="10">
        <v>999415</v>
      </c>
      <c r="C3" s="10">
        <v>999664</v>
      </c>
      <c r="D3" s="10">
        <v>999060</v>
      </c>
      <c r="E3" s="10">
        <v>999246</v>
      </c>
      <c r="F3" s="10">
        <v>999245</v>
      </c>
      <c r="G3" s="10">
        <v>999539</v>
      </c>
      <c r="H3" s="10">
        <v>999153</v>
      </c>
    </row>
    <row r="4" spans="1:8" x14ac:dyDescent="0.25">
      <c r="A4" s="12">
        <v>2</v>
      </c>
      <c r="B4" s="10">
        <v>998827</v>
      </c>
      <c r="C4" s="10">
        <v>999328</v>
      </c>
      <c r="D4" s="10">
        <v>998116</v>
      </c>
      <c r="E4" s="10">
        <v>998490</v>
      </c>
      <c r="F4" s="10">
        <v>998489</v>
      </c>
      <c r="G4" s="10">
        <v>999077</v>
      </c>
      <c r="H4" s="10">
        <v>998303</v>
      </c>
    </row>
    <row r="5" spans="1:8" x14ac:dyDescent="0.25">
      <c r="A5" s="12">
        <v>3</v>
      </c>
      <c r="B5" s="10">
        <v>998237</v>
      </c>
      <c r="C5" s="10">
        <v>998990</v>
      </c>
      <c r="D5" s="10">
        <v>997168</v>
      </c>
      <c r="E5" s="10">
        <v>997734</v>
      </c>
      <c r="F5" s="10">
        <v>997733</v>
      </c>
      <c r="G5" s="10">
        <v>998614</v>
      </c>
      <c r="H5" s="10">
        <v>997451</v>
      </c>
    </row>
    <row r="6" spans="1:8" x14ac:dyDescent="0.25">
      <c r="A6" s="12">
        <v>4</v>
      </c>
      <c r="B6" s="10">
        <v>997644</v>
      </c>
      <c r="C6" s="10">
        <v>998653</v>
      </c>
      <c r="D6" s="10">
        <v>996215</v>
      </c>
      <c r="E6" s="10">
        <v>996977</v>
      </c>
      <c r="F6" s="10">
        <v>996975</v>
      </c>
      <c r="G6" s="10">
        <v>998148</v>
      </c>
      <c r="H6" s="10">
        <v>996596</v>
      </c>
    </row>
    <row r="7" spans="1:8" x14ac:dyDescent="0.25">
      <c r="A7" s="12">
        <v>5</v>
      </c>
      <c r="B7" s="10">
        <v>997047</v>
      </c>
      <c r="C7" s="10">
        <v>998314</v>
      </c>
      <c r="D7" s="10">
        <v>995256</v>
      </c>
      <c r="E7" s="10">
        <v>996218</v>
      </c>
      <c r="F7" s="10">
        <v>996215</v>
      </c>
      <c r="G7" s="10">
        <v>997681</v>
      </c>
      <c r="H7" s="10">
        <v>995737</v>
      </c>
    </row>
    <row r="8" spans="1:8" x14ac:dyDescent="0.25">
      <c r="A8" s="12">
        <v>6</v>
      </c>
      <c r="B8" s="10">
        <v>996447</v>
      </c>
      <c r="C8" s="10">
        <v>997974</v>
      </c>
      <c r="D8" s="10">
        <v>994291</v>
      </c>
      <c r="E8" s="10">
        <v>995458</v>
      </c>
      <c r="F8" s="10">
        <v>995454</v>
      </c>
      <c r="G8" s="10">
        <v>997211</v>
      </c>
      <c r="H8" s="10">
        <v>994874</v>
      </c>
    </row>
    <row r="9" spans="1:8" x14ac:dyDescent="0.25">
      <c r="A9" s="12">
        <v>7</v>
      </c>
      <c r="B9" s="10">
        <v>995843</v>
      </c>
      <c r="C9" s="10">
        <v>997634</v>
      </c>
      <c r="D9" s="10">
        <v>993319</v>
      </c>
      <c r="E9" s="10">
        <v>994696</v>
      </c>
      <c r="F9" s="10">
        <v>994691</v>
      </c>
      <c r="G9" s="10">
        <v>996738</v>
      </c>
      <c r="H9" s="10">
        <v>994007</v>
      </c>
    </row>
    <row r="10" spans="1:8" x14ac:dyDescent="0.25">
      <c r="A10" s="12">
        <v>8</v>
      </c>
      <c r="B10" s="10">
        <v>995234</v>
      </c>
      <c r="C10" s="10">
        <v>997292</v>
      </c>
      <c r="D10" s="10">
        <v>992339</v>
      </c>
      <c r="E10" s="10">
        <v>993932</v>
      </c>
      <c r="F10" s="10">
        <v>993926</v>
      </c>
      <c r="G10" s="10">
        <v>996263</v>
      </c>
      <c r="H10" s="10">
        <v>993136</v>
      </c>
    </row>
    <row r="11" spans="1:8" x14ac:dyDescent="0.25">
      <c r="A11" s="12">
        <v>9</v>
      </c>
      <c r="B11" s="10">
        <v>994621</v>
      </c>
      <c r="C11" s="10">
        <v>996949</v>
      </c>
      <c r="D11" s="10">
        <v>991351</v>
      </c>
      <c r="E11" s="10">
        <v>993166</v>
      </c>
      <c r="F11" s="10">
        <v>993157</v>
      </c>
      <c r="G11" s="10">
        <v>995785</v>
      </c>
      <c r="H11" s="10">
        <v>992258</v>
      </c>
    </row>
    <row r="12" spans="1:8" x14ac:dyDescent="0.25">
      <c r="A12" s="12">
        <v>10</v>
      </c>
      <c r="B12" s="10">
        <v>994002</v>
      </c>
      <c r="C12" s="10">
        <v>996605</v>
      </c>
      <c r="D12" s="10">
        <v>990353</v>
      </c>
      <c r="E12" s="10">
        <v>992396</v>
      </c>
      <c r="F12" s="10">
        <v>992386</v>
      </c>
      <c r="G12" s="10">
        <v>995303</v>
      </c>
      <c r="H12" s="10">
        <v>991375</v>
      </c>
    </row>
    <row r="13" spans="1:8" x14ac:dyDescent="0.25">
      <c r="A13" s="12">
        <v>11</v>
      </c>
      <c r="B13" s="10">
        <v>993377</v>
      </c>
      <c r="C13" s="10">
        <v>996258</v>
      </c>
      <c r="D13" s="10">
        <v>989344</v>
      </c>
      <c r="E13" s="10">
        <v>991624</v>
      </c>
      <c r="F13" s="10">
        <v>991612</v>
      </c>
      <c r="G13" s="10">
        <v>994818</v>
      </c>
      <c r="H13" s="10">
        <v>990484</v>
      </c>
    </row>
    <row r="14" spans="1:8" x14ac:dyDescent="0.25">
      <c r="A14" s="12">
        <v>12</v>
      </c>
      <c r="B14" s="10">
        <v>992745</v>
      </c>
      <c r="C14" s="10">
        <v>995910</v>
      </c>
      <c r="D14" s="10">
        <v>988323</v>
      </c>
      <c r="E14" s="10">
        <v>990848</v>
      </c>
      <c r="F14" s="10">
        <v>990833</v>
      </c>
      <c r="G14" s="10">
        <v>994328</v>
      </c>
      <c r="H14" s="10">
        <v>989586</v>
      </c>
    </row>
    <row r="15" spans="1:8" x14ac:dyDescent="0.25">
      <c r="A15" s="12">
        <v>13</v>
      </c>
      <c r="B15" s="10">
        <v>992106</v>
      </c>
      <c r="C15" s="10">
        <v>995560</v>
      </c>
      <c r="D15" s="10">
        <v>987290</v>
      </c>
      <c r="E15" s="10">
        <v>990069</v>
      </c>
      <c r="F15" s="10">
        <v>990050</v>
      </c>
      <c r="G15" s="10">
        <v>993833</v>
      </c>
      <c r="H15" s="10">
        <v>988679</v>
      </c>
    </row>
    <row r="16" spans="1:8" x14ac:dyDescent="0.25">
      <c r="A16" s="12">
        <v>14</v>
      </c>
      <c r="B16" s="10">
        <v>991459</v>
      </c>
      <c r="C16" s="10">
        <v>995208</v>
      </c>
      <c r="D16" s="10">
        <v>986241</v>
      </c>
      <c r="E16" s="10">
        <v>989284</v>
      </c>
      <c r="F16" s="10">
        <v>989262</v>
      </c>
      <c r="G16" s="10">
        <v>993333</v>
      </c>
      <c r="H16" s="10">
        <v>987763</v>
      </c>
    </row>
    <row r="17" spans="1:8" x14ac:dyDescent="0.25">
      <c r="A17" s="12">
        <v>15</v>
      </c>
      <c r="B17" s="10">
        <v>990802</v>
      </c>
      <c r="C17" s="10">
        <v>994852</v>
      </c>
      <c r="D17" s="10">
        <v>985177</v>
      </c>
      <c r="E17" s="10">
        <v>988495</v>
      </c>
      <c r="F17" s="10">
        <v>988468</v>
      </c>
      <c r="G17" s="10">
        <v>992827</v>
      </c>
      <c r="H17" s="10">
        <v>986836</v>
      </c>
    </row>
    <row r="18" spans="1:8" x14ac:dyDescent="0.25">
      <c r="A18" s="12">
        <v>16</v>
      </c>
      <c r="B18" s="10">
        <v>990136</v>
      </c>
      <c r="C18" s="10">
        <v>994494</v>
      </c>
      <c r="D18" s="10">
        <v>984095</v>
      </c>
      <c r="E18" s="10">
        <v>987700</v>
      </c>
      <c r="F18" s="10">
        <v>987668</v>
      </c>
      <c r="G18" s="10">
        <v>992315</v>
      </c>
      <c r="H18" s="10">
        <v>985897</v>
      </c>
    </row>
    <row r="19" spans="1:8" x14ac:dyDescent="0.25">
      <c r="A19" s="12">
        <v>17</v>
      </c>
      <c r="B19" s="10">
        <v>989459</v>
      </c>
      <c r="C19" s="10">
        <v>994133</v>
      </c>
      <c r="D19" s="10">
        <v>982992</v>
      </c>
      <c r="E19" s="10">
        <v>986898</v>
      </c>
      <c r="F19" s="10">
        <v>986860</v>
      </c>
      <c r="G19" s="10">
        <v>991796</v>
      </c>
      <c r="H19" s="10">
        <v>984945</v>
      </c>
    </row>
    <row r="20" spans="1:8" x14ac:dyDescent="0.25">
      <c r="A20" s="12">
        <v>18</v>
      </c>
      <c r="B20" s="10">
        <v>988769</v>
      </c>
      <c r="C20" s="10">
        <v>993768</v>
      </c>
      <c r="D20" s="10">
        <v>981868</v>
      </c>
      <c r="E20" s="10">
        <v>986089</v>
      </c>
      <c r="F20" s="10">
        <v>986044</v>
      </c>
      <c r="G20" s="10">
        <v>991268</v>
      </c>
      <c r="H20" s="10">
        <v>983979</v>
      </c>
    </row>
    <row r="21" spans="1:8" x14ac:dyDescent="0.25">
      <c r="A21" s="12">
        <v>19</v>
      </c>
      <c r="B21" s="10">
        <v>988067</v>
      </c>
      <c r="C21" s="10">
        <v>993398</v>
      </c>
      <c r="D21" s="10">
        <v>980720</v>
      </c>
      <c r="E21" s="10">
        <v>985272</v>
      </c>
      <c r="F21" s="10">
        <v>985219</v>
      </c>
      <c r="G21" s="10">
        <v>990732</v>
      </c>
      <c r="H21" s="10">
        <v>982996</v>
      </c>
    </row>
    <row r="22" spans="1:8" x14ac:dyDescent="0.25">
      <c r="A22" s="12">
        <v>20</v>
      </c>
      <c r="B22" s="10">
        <v>987349</v>
      </c>
      <c r="C22" s="10">
        <v>993024</v>
      </c>
      <c r="D22" s="10">
        <v>979545</v>
      </c>
      <c r="E22" s="10">
        <v>984445</v>
      </c>
      <c r="F22" s="10">
        <v>984383</v>
      </c>
      <c r="G22" s="10">
        <v>990187</v>
      </c>
      <c r="H22" s="10">
        <v>981995</v>
      </c>
    </row>
    <row r="23" spans="1:8" x14ac:dyDescent="0.25">
      <c r="A23" s="12">
        <v>21</v>
      </c>
      <c r="B23" s="10">
        <v>986616</v>
      </c>
      <c r="C23" s="10">
        <v>992645</v>
      </c>
      <c r="D23" s="10">
        <v>978341</v>
      </c>
      <c r="E23" s="10">
        <v>983608</v>
      </c>
      <c r="F23" s="10">
        <v>983534</v>
      </c>
      <c r="G23" s="10">
        <v>989630</v>
      </c>
      <c r="H23" s="10">
        <v>980974</v>
      </c>
    </row>
    <row r="24" spans="1:8" x14ac:dyDescent="0.25">
      <c r="A24" s="12">
        <v>22</v>
      </c>
      <c r="B24" s="10">
        <v>985864</v>
      </c>
      <c r="C24" s="10">
        <v>992260</v>
      </c>
      <c r="D24" s="10">
        <v>977103</v>
      </c>
      <c r="E24" s="10">
        <v>982758</v>
      </c>
      <c r="F24" s="10">
        <v>982673</v>
      </c>
      <c r="G24" s="10">
        <v>989062</v>
      </c>
      <c r="H24" s="10">
        <v>979931</v>
      </c>
    </row>
    <row r="25" spans="1:8" x14ac:dyDescent="0.25">
      <c r="A25" s="12">
        <v>23</v>
      </c>
      <c r="B25" s="10">
        <v>985093</v>
      </c>
      <c r="C25" s="10">
        <v>991868</v>
      </c>
      <c r="D25" s="10">
        <v>975830</v>
      </c>
      <c r="E25" s="10">
        <v>981896</v>
      </c>
      <c r="F25" s="10">
        <v>981796</v>
      </c>
      <c r="G25" s="10">
        <v>988481</v>
      </c>
      <c r="H25" s="10">
        <v>978863</v>
      </c>
    </row>
    <row r="26" spans="1:8" x14ac:dyDescent="0.25">
      <c r="A26" s="12">
        <v>24</v>
      </c>
      <c r="B26" s="10">
        <v>984300</v>
      </c>
      <c r="C26" s="10">
        <v>991469</v>
      </c>
      <c r="D26" s="10">
        <v>974516</v>
      </c>
      <c r="E26" s="10">
        <v>981019</v>
      </c>
      <c r="F26" s="10">
        <v>980902</v>
      </c>
      <c r="G26" s="10">
        <v>987885</v>
      </c>
      <c r="H26" s="10">
        <v>977768</v>
      </c>
    </row>
    <row r="27" spans="1:8" x14ac:dyDescent="0.25">
      <c r="A27" s="12">
        <v>25</v>
      </c>
      <c r="B27" s="10">
        <v>983483</v>
      </c>
      <c r="C27" s="10">
        <v>991062</v>
      </c>
      <c r="D27" s="10">
        <v>973159</v>
      </c>
      <c r="E27" s="10">
        <v>980125</v>
      </c>
      <c r="F27" s="10">
        <v>979989</v>
      </c>
      <c r="G27" s="10">
        <v>987273</v>
      </c>
      <c r="H27" s="10">
        <v>976642</v>
      </c>
    </row>
    <row r="28" spans="1:8" x14ac:dyDescent="0.25">
      <c r="A28" s="12">
        <v>26</v>
      </c>
      <c r="B28" s="10">
        <v>982640</v>
      </c>
      <c r="C28" s="10">
        <v>990646</v>
      </c>
      <c r="D28" s="10">
        <v>971753</v>
      </c>
      <c r="E28" s="10">
        <v>979213</v>
      </c>
      <c r="F28" s="10">
        <v>979054</v>
      </c>
      <c r="G28" s="10">
        <v>986643</v>
      </c>
      <c r="H28" s="10">
        <v>975483</v>
      </c>
    </row>
    <row r="29" spans="1:8" x14ac:dyDescent="0.25">
      <c r="A29" s="12">
        <v>27</v>
      </c>
      <c r="B29" s="10">
        <v>981768</v>
      </c>
      <c r="C29" s="10">
        <v>990220</v>
      </c>
      <c r="D29" s="10">
        <v>970294</v>
      </c>
      <c r="E29" s="10">
        <v>978279</v>
      </c>
      <c r="F29" s="10">
        <v>978095</v>
      </c>
      <c r="G29" s="10">
        <v>985994</v>
      </c>
      <c r="H29" s="10">
        <v>974286</v>
      </c>
    </row>
    <row r="30" spans="1:8" x14ac:dyDescent="0.25">
      <c r="A30" s="12">
        <v>28</v>
      </c>
      <c r="B30" s="10">
        <v>980864</v>
      </c>
      <c r="C30" s="10">
        <v>989782</v>
      </c>
      <c r="D30" s="10">
        <v>968775</v>
      </c>
      <c r="E30" s="10">
        <v>977323</v>
      </c>
      <c r="F30" s="10">
        <v>977108</v>
      </c>
      <c r="G30" s="10">
        <v>985323</v>
      </c>
      <c r="H30" s="10">
        <v>973049</v>
      </c>
    </row>
    <row r="31" spans="1:8" x14ac:dyDescent="0.25">
      <c r="A31" s="12">
        <v>29</v>
      </c>
      <c r="B31" s="10">
        <v>979925</v>
      </c>
      <c r="C31" s="10">
        <v>989331</v>
      </c>
      <c r="D31" s="10">
        <v>967191</v>
      </c>
      <c r="E31" s="10">
        <v>976339</v>
      </c>
      <c r="F31" s="10">
        <v>976091</v>
      </c>
      <c r="G31" s="10">
        <v>984628</v>
      </c>
      <c r="H31" s="10">
        <v>971765</v>
      </c>
    </row>
    <row r="32" spans="1:8" x14ac:dyDescent="0.25">
      <c r="A32" s="12">
        <v>30</v>
      </c>
      <c r="B32" s="10">
        <v>978947</v>
      </c>
      <c r="C32" s="10">
        <v>988866</v>
      </c>
      <c r="D32" s="10">
        <v>965536</v>
      </c>
      <c r="E32" s="10">
        <v>975327</v>
      </c>
      <c r="F32" s="10">
        <v>975039</v>
      </c>
      <c r="G32" s="10">
        <v>983907</v>
      </c>
      <c r="H32" s="10">
        <v>970431</v>
      </c>
    </row>
    <row r="33" spans="1:8" x14ac:dyDescent="0.25">
      <c r="A33" s="12">
        <v>31</v>
      </c>
      <c r="B33" s="10">
        <v>977927</v>
      </c>
      <c r="C33" s="10">
        <v>988386</v>
      </c>
      <c r="D33" s="10">
        <v>963801</v>
      </c>
      <c r="E33" s="10">
        <v>974282</v>
      </c>
      <c r="F33" s="10">
        <v>973949</v>
      </c>
      <c r="G33" s="10">
        <v>983156</v>
      </c>
      <c r="H33" s="10">
        <v>969041</v>
      </c>
    </row>
    <row r="34" spans="1:8" x14ac:dyDescent="0.25">
      <c r="A34" s="12">
        <v>32</v>
      </c>
      <c r="B34" s="10">
        <v>976860</v>
      </c>
      <c r="C34" s="10">
        <v>987887</v>
      </c>
      <c r="D34" s="10">
        <v>961979</v>
      </c>
      <c r="E34" s="10">
        <v>973200</v>
      </c>
      <c r="F34" s="10">
        <v>972816</v>
      </c>
      <c r="G34" s="10">
        <v>982374</v>
      </c>
      <c r="H34" s="10">
        <v>967589</v>
      </c>
    </row>
    <row r="35" spans="1:8" x14ac:dyDescent="0.25">
      <c r="A35" s="12">
        <v>33</v>
      </c>
      <c r="B35" s="10">
        <v>975742</v>
      </c>
      <c r="C35" s="10">
        <v>987369</v>
      </c>
      <c r="D35" s="10">
        <v>960061</v>
      </c>
      <c r="E35" s="10">
        <v>972077</v>
      </c>
      <c r="F35" s="10">
        <v>971633</v>
      </c>
      <c r="G35" s="10">
        <v>981555</v>
      </c>
      <c r="H35" s="10">
        <v>966069</v>
      </c>
    </row>
    <row r="36" spans="1:8" x14ac:dyDescent="0.25">
      <c r="A36" s="12">
        <v>34</v>
      </c>
      <c r="B36" s="10">
        <v>974567</v>
      </c>
      <c r="C36" s="10">
        <v>986828</v>
      </c>
      <c r="D36" s="10">
        <v>958037</v>
      </c>
      <c r="E36" s="10">
        <v>970908</v>
      </c>
      <c r="F36" s="10">
        <v>970397</v>
      </c>
      <c r="G36" s="10">
        <v>980698</v>
      </c>
      <c r="H36" s="10">
        <v>964472</v>
      </c>
    </row>
    <row r="37" spans="1:8" x14ac:dyDescent="0.25">
      <c r="A37" s="12">
        <v>35</v>
      </c>
      <c r="B37" s="10">
        <v>973330</v>
      </c>
      <c r="C37" s="10">
        <v>986263</v>
      </c>
      <c r="D37" s="10">
        <v>955896</v>
      </c>
      <c r="E37" s="10">
        <v>969687</v>
      </c>
      <c r="F37" s="10">
        <v>969099</v>
      </c>
      <c r="G37" s="10">
        <v>979797</v>
      </c>
      <c r="H37" s="10">
        <v>962792</v>
      </c>
    </row>
    <row r="38" spans="1:8" x14ac:dyDescent="0.25">
      <c r="A38" s="12">
        <v>36</v>
      </c>
      <c r="B38" s="10">
        <v>972024</v>
      </c>
      <c r="C38" s="10">
        <v>985671</v>
      </c>
      <c r="D38" s="10">
        <v>953628</v>
      </c>
      <c r="E38" s="10">
        <v>968409</v>
      </c>
      <c r="F38" s="10">
        <v>967733</v>
      </c>
      <c r="G38" s="10">
        <v>978847</v>
      </c>
      <c r="H38" s="10">
        <v>961019</v>
      </c>
    </row>
    <row r="39" spans="1:8" x14ac:dyDescent="0.25">
      <c r="A39" s="12">
        <v>37</v>
      </c>
      <c r="B39" s="10">
        <v>970644</v>
      </c>
      <c r="C39" s="10">
        <v>985047</v>
      </c>
      <c r="D39" s="10">
        <v>951218</v>
      </c>
      <c r="E39" s="10">
        <v>967068</v>
      </c>
      <c r="F39" s="10">
        <v>966289</v>
      </c>
      <c r="G39" s="10">
        <v>977845</v>
      </c>
      <c r="H39" s="10">
        <v>959143</v>
      </c>
    </row>
    <row r="40" spans="1:8" x14ac:dyDescent="0.25">
      <c r="A40" s="12">
        <v>38</v>
      </c>
      <c r="B40" s="10">
        <v>969181</v>
      </c>
      <c r="C40" s="10">
        <v>984389</v>
      </c>
      <c r="D40" s="10">
        <v>948653</v>
      </c>
      <c r="E40" s="10">
        <v>965654</v>
      </c>
      <c r="F40" s="10">
        <v>964760</v>
      </c>
      <c r="G40" s="10">
        <v>976785</v>
      </c>
      <c r="H40" s="10">
        <v>957154</v>
      </c>
    </row>
    <row r="41" spans="1:8" x14ac:dyDescent="0.25">
      <c r="A41" s="12">
        <v>39</v>
      </c>
      <c r="B41" s="10">
        <v>967627</v>
      </c>
      <c r="C41" s="10">
        <v>983693</v>
      </c>
      <c r="D41" s="10">
        <v>945918</v>
      </c>
      <c r="E41" s="10">
        <v>964161</v>
      </c>
      <c r="F41" s="10">
        <v>963135</v>
      </c>
      <c r="G41" s="10">
        <v>975660</v>
      </c>
      <c r="H41" s="10">
        <v>955039</v>
      </c>
    </row>
    <row r="42" spans="1:8" x14ac:dyDescent="0.25">
      <c r="A42" s="12">
        <v>40</v>
      </c>
      <c r="B42" s="10">
        <v>965973</v>
      </c>
      <c r="C42" s="10">
        <v>982954</v>
      </c>
      <c r="D42" s="10">
        <v>942996</v>
      </c>
      <c r="E42" s="10">
        <v>962578</v>
      </c>
      <c r="F42" s="10">
        <v>961401</v>
      </c>
      <c r="G42" s="10">
        <v>974463</v>
      </c>
      <c r="H42" s="10">
        <v>952787</v>
      </c>
    </row>
    <row r="43" spans="1:8" x14ac:dyDescent="0.25">
      <c r="A43" s="12">
        <v>41</v>
      </c>
      <c r="B43" s="10">
        <v>964210</v>
      </c>
      <c r="C43" s="10">
        <v>982167</v>
      </c>
      <c r="D43" s="10">
        <v>939868</v>
      </c>
      <c r="E43" s="10">
        <v>960896</v>
      </c>
      <c r="F43" s="10">
        <v>959547</v>
      </c>
      <c r="G43" s="10">
        <v>973188</v>
      </c>
      <c r="H43" s="10">
        <v>950382</v>
      </c>
    </row>
    <row r="44" spans="1:8" x14ac:dyDescent="0.25">
      <c r="A44" s="12">
        <v>42</v>
      </c>
      <c r="B44" s="10">
        <v>962327</v>
      </c>
      <c r="C44" s="10">
        <v>981327</v>
      </c>
      <c r="D44" s="10">
        <v>936514</v>
      </c>
      <c r="E44" s="10">
        <v>959102</v>
      </c>
      <c r="F44" s="10">
        <v>957558</v>
      </c>
      <c r="G44" s="10">
        <v>971827</v>
      </c>
      <c r="H44" s="10">
        <v>947808</v>
      </c>
    </row>
    <row r="45" spans="1:8" x14ac:dyDescent="0.25">
      <c r="A45" s="12">
        <v>43</v>
      </c>
      <c r="B45" s="10">
        <v>960312</v>
      </c>
      <c r="C45" s="10">
        <v>980427</v>
      </c>
      <c r="D45" s="10">
        <v>932912</v>
      </c>
      <c r="E45" s="10">
        <v>957185</v>
      </c>
      <c r="F45" s="10">
        <v>955417</v>
      </c>
      <c r="G45" s="10">
        <v>970369</v>
      </c>
      <c r="H45" s="10">
        <v>945048</v>
      </c>
    </row>
    <row r="46" spans="1:8" x14ac:dyDescent="0.25">
      <c r="A46" s="12">
        <v>44</v>
      </c>
      <c r="B46" s="10">
        <v>958152</v>
      </c>
      <c r="C46" s="10">
        <v>979461</v>
      </c>
      <c r="D46" s="10">
        <v>929039</v>
      </c>
      <c r="E46" s="10">
        <v>955129</v>
      </c>
      <c r="F46" s="10">
        <v>953108</v>
      </c>
      <c r="G46" s="10">
        <v>968807</v>
      </c>
      <c r="H46" s="10">
        <v>942084</v>
      </c>
    </row>
    <row r="47" spans="1:8" x14ac:dyDescent="0.25">
      <c r="A47" s="12">
        <v>45</v>
      </c>
      <c r="B47" s="10">
        <v>955834</v>
      </c>
      <c r="C47" s="10">
        <v>978421</v>
      </c>
      <c r="D47" s="10">
        <v>924868</v>
      </c>
      <c r="E47" s="10">
        <v>952919</v>
      </c>
      <c r="F47" s="10">
        <v>950609</v>
      </c>
      <c r="G47" s="10">
        <v>967127</v>
      </c>
      <c r="H47" s="10">
        <v>938894</v>
      </c>
    </row>
    <row r="48" spans="1:8" x14ac:dyDescent="0.25">
      <c r="A48" s="12">
        <v>46</v>
      </c>
      <c r="B48" s="10">
        <v>953341</v>
      </c>
      <c r="C48" s="10">
        <v>977299</v>
      </c>
      <c r="D48" s="10">
        <v>920372</v>
      </c>
      <c r="E48" s="10">
        <v>950537</v>
      </c>
      <c r="F48" s="10">
        <v>947900</v>
      </c>
      <c r="G48" s="10">
        <v>965320</v>
      </c>
      <c r="H48" s="10">
        <v>935455</v>
      </c>
    </row>
    <row r="49" spans="1:8" x14ac:dyDescent="0.25">
      <c r="A49" s="12">
        <v>47</v>
      </c>
      <c r="B49" s="10">
        <v>950658</v>
      </c>
      <c r="C49" s="10">
        <v>976084</v>
      </c>
      <c r="D49" s="10">
        <v>915519</v>
      </c>
      <c r="E49" s="10">
        <v>947965</v>
      </c>
      <c r="F49" s="10">
        <v>944955</v>
      </c>
      <c r="G49" s="10">
        <v>963371</v>
      </c>
      <c r="H49" s="10">
        <v>931742</v>
      </c>
    </row>
    <row r="50" spans="1:8" x14ac:dyDescent="0.25">
      <c r="A50" s="12">
        <v>48</v>
      </c>
      <c r="B50" s="10">
        <v>947766</v>
      </c>
      <c r="C50" s="10">
        <v>974768</v>
      </c>
      <c r="D50" s="10">
        <v>910276</v>
      </c>
      <c r="E50" s="10">
        <v>945179</v>
      </c>
      <c r="F50" s="10">
        <v>941747</v>
      </c>
      <c r="G50" s="10">
        <v>961267</v>
      </c>
      <c r="H50" s="10">
        <v>927728</v>
      </c>
    </row>
    <row r="51" spans="1:8" x14ac:dyDescent="0.25">
      <c r="A51" s="12">
        <v>49</v>
      </c>
      <c r="B51" s="10">
        <v>944645</v>
      </c>
      <c r="C51" s="10">
        <v>973337</v>
      </c>
      <c r="D51" s="10">
        <v>904608</v>
      </c>
      <c r="E51" s="10">
        <v>942156</v>
      </c>
      <c r="F51" s="10">
        <v>938245</v>
      </c>
      <c r="G51" s="10">
        <v>958991</v>
      </c>
      <c r="H51" s="10">
        <v>923382</v>
      </c>
    </row>
    <row r="52" spans="1:8" x14ac:dyDescent="0.25">
      <c r="A52" s="12">
        <v>50</v>
      </c>
      <c r="B52" s="10">
        <v>941273</v>
      </c>
      <c r="C52" s="10">
        <v>971779</v>
      </c>
      <c r="D52" s="10">
        <v>898476</v>
      </c>
      <c r="E52" s="10">
        <v>938870</v>
      </c>
      <c r="F52" s="10">
        <v>934416</v>
      </c>
      <c r="G52" s="10">
        <v>956526</v>
      </c>
      <c r="H52" s="10">
        <v>918673</v>
      </c>
    </row>
    <row r="53" spans="1:8" x14ac:dyDescent="0.25">
      <c r="A53" s="12">
        <v>51</v>
      </c>
      <c r="B53" s="10">
        <v>937628</v>
      </c>
      <c r="C53" s="10">
        <v>970079</v>
      </c>
      <c r="D53" s="10">
        <v>891838</v>
      </c>
      <c r="E53" s="10">
        <v>935292</v>
      </c>
      <c r="F53" s="10">
        <v>930224</v>
      </c>
      <c r="G53" s="10">
        <v>953853</v>
      </c>
      <c r="H53" s="10">
        <v>913565</v>
      </c>
    </row>
    <row r="54" spans="1:8" x14ac:dyDescent="0.25">
      <c r="A54" s="12">
        <v>52</v>
      </c>
      <c r="B54" s="10">
        <v>933683</v>
      </c>
      <c r="C54" s="10">
        <v>968222</v>
      </c>
      <c r="D54" s="10">
        <v>884651</v>
      </c>
      <c r="E54" s="10">
        <v>931388</v>
      </c>
      <c r="F54" s="10">
        <v>925626</v>
      </c>
      <c r="G54" s="10">
        <v>950952</v>
      </c>
      <c r="H54" s="10">
        <v>908019</v>
      </c>
    </row>
    <row r="55" spans="1:8" x14ac:dyDescent="0.25">
      <c r="A55" s="12">
        <v>53</v>
      </c>
      <c r="B55" s="10">
        <v>929411</v>
      </c>
      <c r="C55" s="10">
        <v>966190</v>
      </c>
      <c r="D55" s="10">
        <v>876865</v>
      </c>
      <c r="E55" s="10">
        <v>927123</v>
      </c>
      <c r="F55" s="10">
        <v>920578</v>
      </c>
      <c r="G55" s="10">
        <v>947800</v>
      </c>
      <c r="H55" s="10">
        <v>901994</v>
      </c>
    </row>
    <row r="56" spans="1:8" x14ac:dyDescent="0.25">
      <c r="A56" s="12">
        <v>54</v>
      </c>
      <c r="B56" s="10">
        <v>924782</v>
      </c>
      <c r="C56" s="10">
        <v>963962</v>
      </c>
      <c r="D56" s="10">
        <v>868432</v>
      </c>
      <c r="E56" s="10">
        <v>922458</v>
      </c>
      <c r="F56" s="10">
        <v>915029</v>
      </c>
      <c r="G56" s="10">
        <v>944372</v>
      </c>
      <c r="H56" s="10">
        <v>895445</v>
      </c>
    </row>
    <row r="57" spans="1:8" x14ac:dyDescent="0.25">
      <c r="A57" s="12">
        <v>55</v>
      </c>
      <c r="B57" s="10">
        <v>919763</v>
      </c>
      <c r="C57" s="10">
        <v>961517</v>
      </c>
      <c r="D57" s="10">
        <v>859297</v>
      </c>
      <c r="E57" s="10">
        <v>917350</v>
      </c>
      <c r="F57" s="10">
        <v>908926</v>
      </c>
      <c r="G57" s="10">
        <v>940640</v>
      </c>
      <c r="H57" s="10">
        <v>888324</v>
      </c>
    </row>
    <row r="58" spans="1:8" x14ac:dyDescent="0.25">
      <c r="A58" s="12">
        <v>56</v>
      </c>
      <c r="B58" s="10">
        <v>914321</v>
      </c>
      <c r="C58" s="10">
        <v>958831</v>
      </c>
      <c r="D58" s="10">
        <v>849405</v>
      </c>
      <c r="E58" s="10">
        <v>911752</v>
      </c>
      <c r="F58" s="10">
        <v>902208</v>
      </c>
      <c r="G58" s="10">
        <v>936576</v>
      </c>
      <c r="H58" s="10">
        <v>880578</v>
      </c>
    </row>
    <row r="59" spans="1:8" x14ac:dyDescent="0.25">
      <c r="A59" s="12">
        <v>57</v>
      </c>
      <c r="B59" s="10">
        <v>908417</v>
      </c>
      <c r="C59" s="10">
        <v>955877</v>
      </c>
      <c r="D59" s="10">
        <v>838695</v>
      </c>
      <c r="E59" s="10">
        <v>905611</v>
      </c>
      <c r="F59" s="10">
        <v>894812</v>
      </c>
      <c r="G59" s="10">
        <v>932147</v>
      </c>
      <c r="H59" s="10">
        <v>872153</v>
      </c>
    </row>
    <row r="60" spans="1:8" x14ac:dyDescent="0.25">
      <c r="A60" s="12">
        <v>58</v>
      </c>
      <c r="B60" s="10">
        <v>902011</v>
      </c>
      <c r="C60" s="10">
        <v>952625</v>
      </c>
      <c r="D60" s="10">
        <v>827108</v>
      </c>
      <c r="E60" s="10">
        <v>898873</v>
      </c>
      <c r="F60" s="10">
        <v>886665</v>
      </c>
      <c r="G60" s="10">
        <v>927318</v>
      </c>
      <c r="H60" s="10">
        <v>862990</v>
      </c>
    </row>
    <row r="61" spans="1:8" x14ac:dyDescent="0.25">
      <c r="A61" s="12">
        <v>59</v>
      </c>
      <c r="B61" s="10">
        <v>895060</v>
      </c>
      <c r="C61" s="10">
        <v>949044</v>
      </c>
      <c r="D61" s="10">
        <v>814579</v>
      </c>
      <c r="E61" s="10">
        <v>891476</v>
      </c>
      <c r="F61" s="10">
        <v>877692</v>
      </c>
      <c r="G61" s="10">
        <v>922052</v>
      </c>
      <c r="H61" s="10">
        <v>853027</v>
      </c>
    </row>
    <row r="62" spans="1:8" x14ac:dyDescent="0.25">
      <c r="A62" s="12">
        <v>60</v>
      </c>
      <c r="B62" s="10">
        <v>887519</v>
      </c>
      <c r="C62" s="10">
        <v>945096</v>
      </c>
      <c r="D62" s="10">
        <v>801043</v>
      </c>
      <c r="E62" s="10">
        <v>883353</v>
      </c>
      <c r="F62" s="10">
        <v>867812</v>
      </c>
      <c r="G62" s="10">
        <v>916308</v>
      </c>
      <c r="H62" s="10">
        <v>842198</v>
      </c>
    </row>
    <row r="63" spans="1:8" x14ac:dyDescent="0.25">
      <c r="A63" s="12">
        <v>61</v>
      </c>
      <c r="B63" s="10">
        <v>879339</v>
      </c>
      <c r="C63" s="10">
        <v>940744</v>
      </c>
      <c r="D63" s="10">
        <v>786437</v>
      </c>
      <c r="E63" s="10">
        <v>874435</v>
      </c>
      <c r="F63" s="10">
        <v>856936</v>
      </c>
      <c r="G63" s="10">
        <v>910041</v>
      </c>
      <c r="H63" s="10">
        <v>830436</v>
      </c>
    </row>
    <row r="64" spans="1:8" x14ac:dyDescent="0.25">
      <c r="A64" s="12">
        <v>62</v>
      </c>
      <c r="B64" s="10">
        <v>870468</v>
      </c>
      <c r="C64" s="10">
        <v>935942</v>
      </c>
      <c r="D64" s="10">
        <v>770696</v>
      </c>
      <c r="E64" s="10">
        <v>864645</v>
      </c>
      <c r="F64" s="10">
        <v>844971</v>
      </c>
      <c r="G64" s="10">
        <v>903205</v>
      </c>
      <c r="H64" s="10">
        <v>817670</v>
      </c>
    </row>
    <row r="65" spans="1:8" x14ac:dyDescent="0.25">
      <c r="A65" s="12">
        <v>63</v>
      </c>
      <c r="B65" s="10">
        <v>860853</v>
      </c>
      <c r="C65" s="10">
        <v>930645</v>
      </c>
      <c r="D65" s="10">
        <v>753756</v>
      </c>
      <c r="E65" s="10">
        <v>853902</v>
      </c>
      <c r="F65" s="10">
        <v>831822</v>
      </c>
      <c r="G65" s="10">
        <v>895749</v>
      </c>
      <c r="H65" s="10">
        <v>803829</v>
      </c>
    </row>
    <row r="66" spans="1:8" x14ac:dyDescent="0.25">
      <c r="A66" s="12">
        <v>64</v>
      </c>
      <c r="B66" s="10">
        <v>850437</v>
      </c>
      <c r="C66" s="10">
        <v>924800</v>
      </c>
      <c r="D66" s="10">
        <v>735557</v>
      </c>
      <c r="E66" s="10">
        <v>842121</v>
      </c>
      <c r="F66" s="10">
        <v>817386</v>
      </c>
      <c r="G66" s="10">
        <v>887618</v>
      </c>
      <c r="H66" s="10">
        <v>788839</v>
      </c>
    </row>
    <row r="67" spans="1:8" x14ac:dyDescent="0.25">
      <c r="A67" s="12">
        <v>65</v>
      </c>
      <c r="B67" s="10">
        <v>839161</v>
      </c>
      <c r="C67" s="10">
        <v>918351</v>
      </c>
      <c r="D67" s="10">
        <v>716046</v>
      </c>
      <c r="E67" s="10">
        <v>829212</v>
      </c>
      <c r="F67" s="10">
        <v>801559</v>
      </c>
      <c r="G67" s="10">
        <v>878756</v>
      </c>
      <c r="H67" s="10">
        <v>772629</v>
      </c>
    </row>
    <row r="68" spans="1:8" x14ac:dyDescent="0.25">
      <c r="A68" s="12">
        <v>66</v>
      </c>
      <c r="B68" s="10">
        <v>826964</v>
      </c>
      <c r="C68" s="10">
        <v>911238</v>
      </c>
      <c r="D68" s="10">
        <v>695175</v>
      </c>
      <c r="E68" s="10">
        <v>815082</v>
      </c>
      <c r="F68" s="10">
        <v>784237</v>
      </c>
      <c r="G68" s="10">
        <v>869101</v>
      </c>
      <c r="H68" s="10">
        <v>755129</v>
      </c>
    </row>
    <row r="69" spans="1:8" x14ac:dyDescent="0.25">
      <c r="A69" s="12">
        <v>67</v>
      </c>
      <c r="B69" s="10">
        <v>813786</v>
      </c>
      <c r="C69" s="10">
        <v>903393</v>
      </c>
      <c r="D69" s="10">
        <v>672905</v>
      </c>
      <c r="E69" s="10">
        <v>799638</v>
      </c>
      <c r="F69" s="10">
        <v>765316</v>
      </c>
      <c r="G69" s="10">
        <v>858590</v>
      </c>
      <c r="H69" s="10">
        <v>736271</v>
      </c>
    </row>
    <row r="70" spans="1:8" x14ac:dyDescent="0.25">
      <c r="A70" s="12">
        <v>68</v>
      </c>
      <c r="B70" s="10">
        <v>799564</v>
      </c>
      <c r="C70" s="10">
        <v>894747</v>
      </c>
      <c r="D70" s="10">
        <v>649211</v>
      </c>
      <c r="E70" s="10">
        <v>782782</v>
      </c>
      <c r="F70" s="10">
        <v>744697</v>
      </c>
      <c r="G70" s="10">
        <v>847155</v>
      </c>
      <c r="H70" s="10">
        <v>715996</v>
      </c>
    </row>
    <row r="71" spans="1:8" x14ac:dyDescent="0.25">
      <c r="A71" s="12">
        <v>69</v>
      </c>
      <c r="B71" s="10">
        <v>784235</v>
      </c>
      <c r="C71" s="10">
        <v>885223</v>
      </c>
      <c r="D71" s="10">
        <v>624083</v>
      </c>
      <c r="E71" s="10">
        <v>764421</v>
      </c>
      <c r="F71" s="10">
        <v>722289</v>
      </c>
      <c r="G71" s="10">
        <v>834729</v>
      </c>
      <c r="H71" s="10">
        <v>694252</v>
      </c>
    </row>
    <row r="72" spans="1:8" x14ac:dyDescent="0.25">
      <c r="A72" s="12">
        <v>70</v>
      </c>
      <c r="B72" s="10">
        <v>767741</v>
      </c>
      <c r="C72" s="10">
        <v>874740</v>
      </c>
      <c r="D72" s="10">
        <v>597531</v>
      </c>
      <c r="E72" s="10">
        <v>744463</v>
      </c>
      <c r="F72" s="10">
        <v>698013</v>
      </c>
      <c r="G72" s="10">
        <v>821240</v>
      </c>
      <c r="H72" s="10">
        <v>670997</v>
      </c>
    </row>
    <row r="73" spans="1:8" x14ac:dyDescent="0.25">
      <c r="A73" s="12">
        <v>71</v>
      </c>
      <c r="B73" s="10">
        <v>750022</v>
      </c>
      <c r="C73" s="10">
        <v>863213</v>
      </c>
      <c r="D73" s="10">
        <v>569584</v>
      </c>
      <c r="E73" s="10">
        <v>722826</v>
      </c>
      <c r="F73" s="10">
        <v>671805</v>
      </c>
      <c r="G73" s="10">
        <v>806618</v>
      </c>
      <c r="H73" s="10">
        <v>646205</v>
      </c>
    </row>
    <row r="74" spans="1:8" x14ac:dyDescent="0.25">
      <c r="A74" s="12">
        <v>72</v>
      </c>
      <c r="B74" s="10">
        <v>731027</v>
      </c>
      <c r="C74" s="10">
        <v>850551</v>
      </c>
      <c r="D74" s="10">
        <v>540302</v>
      </c>
      <c r="E74" s="10">
        <v>699436</v>
      </c>
      <c r="F74" s="10">
        <v>643628</v>
      </c>
      <c r="G74" s="10">
        <v>790789</v>
      </c>
      <c r="H74" s="10">
        <v>619869</v>
      </c>
    </row>
    <row r="75" spans="1:8" x14ac:dyDescent="0.25">
      <c r="A75" s="12">
        <v>73</v>
      </c>
      <c r="B75" s="10">
        <v>710707</v>
      </c>
      <c r="C75" s="10">
        <v>836663</v>
      </c>
      <c r="D75" s="10">
        <v>509773</v>
      </c>
      <c r="E75" s="10">
        <v>674235</v>
      </c>
      <c r="F75" s="10">
        <v>613473</v>
      </c>
      <c r="G75" s="10">
        <v>773685</v>
      </c>
      <c r="H75" s="10">
        <v>592004</v>
      </c>
    </row>
    <row r="76" spans="1:8" x14ac:dyDescent="0.25">
      <c r="A76" s="12">
        <v>74</v>
      </c>
      <c r="B76" s="10">
        <v>689026</v>
      </c>
      <c r="C76" s="10">
        <v>821452</v>
      </c>
      <c r="D76" s="10">
        <v>478118</v>
      </c>
      <c r="E76" s="10">
        <v>647185</v>
      </c>
      <c r="F76" s="10">
        <v>581371</v>
      </c>
      <c r="G76" s="10">
        <v>755239</v>
      </c>
      <c r="H76" s="10">
        <v>562652</v>
      </c>
    </row>
    <row r="77" spans="1:8" x14ac:dyDescent="0.25">
      <c r="A77" s="12">
        <v>75</v>
      </c>
      <c r="B77" s="10">
        <v>665954</v>
      </c>
      <c r="C77" s="10">
        <v>804822</v>
      </c>
      <c r="D77" s="10">
        <v>445496</v>
      </c>
      <c r="E77" s="10">
        <v>618274</v>
      </c>
      <c r="F77" s="10">
        <v>547398</v>
      </c>
      <c r="G77" s="10">
        <v>735388</v>
      </c>
      <c r="H77" s="10">
        <v>531885</v>
      </c>
    </row>
    <row r="78" spans="1:8" x14ac:dyDescent="0.25">
      <c r="A78" s="12">
        <v>76</v>
      </c>
      <c r="B78" s="10">
        <v>641480</v>
      </c>
      <c r="C78" s="10">
        <v>786678</v>
      </c>
      <c r="D78" s="10">
        <v>412104</v>
      </c>
      <c r="E78" s="10">
        <v>587524</v>
      </c>
      <c r="F78" s="10">
        <v>511683</v>
      </c>
      <c r="G78" s="10">
        <v>714079</v>
      </c>
      <c r="H78" s="10">
        <v>499814</v>
      </c>
    </row>
    <row r="79" spans="1:8" x14ac:dyDescent="0.25">
      <c r="A79" s="12">
        <v>77</v>
      </c>
      <c r="B79" s="10">
        <v>615606</v>
      </c>
      <c r="C79" s="10">
        <v>766928</v>
      </c>
      <c r="D79" s="10">
        <v>378180</v>
      </c>
      <c r="E79" s="10">
        <v>554993</v>
      </c>
      <c r="F79" s="10">
        <v>474421</v>
      </c>
      <c r="G79" s="10">
        <v>691267</v>
      </c>
      <c r="H79" s="10">
        <v>466586</v>
      </c>
    </row>
    <row r="80" spans="1:8" x14ac:dyDescent="0.25">
      <c r="A80" s="12">
        <v>78</v>
      </c>
      <c r="B80" s="10">
        <v>588355</v>
      </c>
      <c r="C80" s="10">
        <v>745485</v>
      </c>
      <c r="D80" s="10">
        <v>343999</v>
      </c>
      <c r="E80" s="10">
        <v>520791</v>
      </c>
      <c r="F80" s="10">
        <v>435874</v>
      </c>
      <c r="G80" s="10">
        <v>666920</v>
      </c>
      <c r="H80" s="10">
        <v>432395</v>
      </c>
    </row>
    <row r="81" spans="1:8" x14ac:dyDescent="0.25">
      <c r="A81" s="12">
        <v>79</v>
      </c>
      <c r="B81" s="10">
        <v>559774</v>
      </c>
      <c r="C81" s="10">
        <v>722274</v>
      </c>
      <c r="D81" s="10">
        <v>309875</v>
      </c>
      <c r="E81" s="10">
        <v>485078</v>
      </c>
      <c r="F81" s="10">
        <v>396375</v>
      </c>
      <c r="G81" s="10">
        <v>641024</v>
      </c>
      <c r="H81" s="10">
        <v>397476</v>
      </c>
    </row>
    <row r="82" spans="1:8" x14ac:dyDescent="0.25">
      <c r="A82" s="12">
        <v>80</v>
      </c>
      <c r="B82" s="10">
        <v>529938</v>
      </c>
      <c r="C82" s="10">
        <v>697231</v>
      </c>
      <c r="D82" s="10">
        <v>276150</v>
      </c>
      <c r="E82" s="10">
        <v>448073</v>
      </c>
      <c r="F82" s="10">
        <v>356335</v>
      </c>
      <c r="G82" s="10">
        <v>613585</v>
      </c>
      <c r="H82" s="10">
        <v>362112</v>
      </c>
    </row>
    <row r="83" spans="1:8" x14ac:dyDescent="0.25">
      <c r="A83" s="12">
        <v>81</v>
      </c>
      <c r="B83" s="10">
        <v>498950</v>
      </c>
      <c r="C83" s="10">
        <v>670315</v>
      </c>
      <c r="D83" s="10">
        <v>243193</v>
      </c>
      <c r="E83" s="10">
        <v>410063</v>
      </c>
      <c r="F83" s="10">
        <v>316233</v>
      </c>
      <c r="G83" s="10">
        <v>584633</v>
      </c>
      <c r="H83" s="10">
        <v>326628</v>
      </c>
    </row>
    <row r="84" spans="1:8" x14ac:dyDescent="0.25">
      <c r="A84" s="12">
        <v>82</v>
      </c>
      <c r="B84" s="10">
        <v>466948</v>
      </c>
      <c r="C84" s="10">
        <v>641506</v>
      </c>
      <c r="D84" s="10">
        <v>211382</v>
      </c>
      <c r="E84" s="10">
        <v>371397</v>
      </c>
      <c r="F84" s="10">
        <v>276611</v>
      </c>
      <c r="G84" s="10">
        <v>554227</v>
      </c>
      <c r="H84" s="10">
        <v>291389</v>
      </c>
    </row>
    <row r="85" spans="1:8" x14ac:dyDescent="0.25">
      <c r="A85" s="12">
        <v>83</v>
      </c>
      <c r="B85" s="10">
        <v>434106</v>
      </c>
      <c r="C85" s="10">
        <v>610817</v>
      </c>
      <c r="D85" s="10">
        <v>181095</v>
      </c>
      <c r="E85" s="10">
        <v>332489</v>
      </c>
      <c r="F85" s="10">
        <v>238056</v>
      </c>
      <c r="G85" s="10">
        <v>522461</v>
      </c>
      <c r="H85" s="10">
        <v>256792</v>
      </c>
    </row>
    <row r="86" spans="1:8" x14ac:dyDescent="0.25">
      <c r="A86" s="12">
        <v>84</v>
      </c>
      <c r="B86" s="10">
        <v>400631</v>
      </c>
      <c r="C86" s="10">
        <v>578299</v>
      </c>
      <c r="D86" s="10">
        <v>152691</v>
      </c>
      <c r="E86" s="10">
        <v>293814</v>
      </c>
      <c r="F86" s="10">
        <v>201175</v>
      </c>
      <c r="G86" s="10">
        <v>489465</v>
      </c>
      <c r="H86" s="10">
        <v>223253</v>
      </c>
    </row>
    <row r="87" spans="1:8" x14ac:dyDescent="0.25">
      <c r="A87" s="12">
        <v>85</v>
      </c>
      <c r="B87" s="10">
        <v>366772</v>
      </c>
      <c r="C87" s="10">
        <v>544045</v>
      </c>
      <c r="D87" s="10">
        <v>126494</v>
      </c>
      <c r="E87" s="10">
        <v>255892</v>
      </c>
      <c r="F87" s="10">
        <v>166568</v>
      </c>
      <c r="G87" s="10">
        <v>455409</v>
      </c>
      <c r="H87" s="10">
        <v>191193</v>
      </c>
    </row>
    <row r="88" spans="1:8" x14ac:dyDescent="0.25">
      <c r="A88" s="12">
        <v>86</v>
      </c>
      <c r="B88" s="10">
        <v>332810</v>
      </c>
      <c r="C88" s="10">
        <v>508203</v>
      </c>
      <c r="D88" s="10">
        <v>102774</v>
      </c>
      <c r="E88" s="10">
        <v>219271</v>
      </c>
      <c r="F88" s="10">
        <v>134786</v>
      </c>
      <c r="G88" s="10">
        <v>420506</v>
      </c>
      <c r="H88" s="10">
        <v>161023</v>
      </c>
    </row>
    <row r="89" spans="1:8" x14ac:dyDescent="0.25">
      <c r="A89" s="12">
        <v>87</v>
      </c>
      <c r="B89" s="10">
        <v>299058</v>
      </c>
      <c r="C89" s="10">
        <v>470977</v>
      </c>
      <c r="D89" s="10">
        <v>81728</v>
      </c>
      <c r="E89" s="10">
        <v>184508</v>
      </c>
      <c r="F89" s="10">
        <v>106297</v>
      </c>
      <c r="G89" s="10">
        <v>385017</v>
      </c>
      <c r="H89" s="10">
        <v>133118</v>
      </c>
    </row>
    <row r="90" spans="1:8" x14ac:dyDescent="0.25">
      <c r="A90" s="12">
        <v>88</v>
      </c>
      <c r="B90" s="10">
        <v>265855</v>
      </c>
      <c r="C90" s="10">
        <v>432633</v>
      </c>
      <c r="D90" s="10">
        <v>63471</v>
      </c>
      <c r="E90" s="10">
        <v>152132</v>
      </c>
      <c r="F90" s="10">
        <v>81443</v>
      </c>
      <c r="G90" s="10">
        <v>349244</v>
      </c>
      <c r="H90" s="10">
        <v>107802</v>
      </c>
    </row>
    <row r="91" spans="1:8" x14ac:dyDescent="0.25">
      <c r="A91" s="12">
        <v>89</v>
      </c>
      <c r="B91" s="10">
        <v>233556</v>
      </c>
      <c r="C91" s="10">
        <v>393505</v>
      </c>
      <c r="D91" s="10">
        <v>48020</v>
      </c>
      <c r="E91" s="10">
        <v>122619</v>
      </c>
      <c r="F91" s="10">
        <v>60411</v>
      </c>
      <c r="G91" s="10">
        <v>313531</v>
      </c>
      <c r="H91" s="10">
        <v>85320</v>
      </c>
    </row>
    <row r="92" spans="1:8" x14ac:dyDescent="0.25">
      <c r="A92" s="12">
        <v>90</v>
      </c>
      <c r="B92" s="10">
        <v>202525</v>
      </c>
      <c r="C92" s="10">
        <v>353988</v>
      </c>
      <c r="D92" s="10">
        <v>35296</v>
      </c>
      <c r="E92" s="10">
        <v>96352</v>
      </c>
      <c r="F92" s="10">
        <v>43210</v>
      </c>
      <c r="G92" s="10">
        <v>278256</v>
      </c>
      <c r="H92" s="10">
        <v>65824</v>
      </c>
    </row>
    <row r="93" spans="1:8" x14ac:dyDescent="0.25">
      <c r="A93" s="12">
        <v>91</v>
      </c>
      <c r="B93" s="10">
        <v>173113</v>
      </c>
      <c r="C93" s="10">
        <v>314540</v>
      </c>
      <c r="D93" s="10">
        <v>25131</v>
      </c>
      <c r="E93" s="10">
        <v>73590</v>
      </c>
      <c r="F93" s="10">
        <v>29672</v>
      </c>
      <c r="G93" s="10">
        <v>243827</v>
      </c>
      <c r="H93" s="10">
        <v>49360</v>
      </c>
    </row>
    <row r="94" spans="1:8" x14ac:dyDescent="0.25">
      <c r="A94" s="12">
        <v>92</v>
      </c>
      <c r="B94" s="10">
        <v>145653</v>
      </c>
      <c r="C94" s="10">
        <v>275668</v>
      </c>
      <c r="D94" s="10">
        <v>17275</v>
      </c>
      <c r="E94" s="10">
        <v>54448</v>
      </c>
      <c r="F94" s="10">
        <v>19464</v>
      </c>
      <c r="G94" s="10">
        <v>210661</v>
      </c>
      <c r="H94" s="10">
        <v>35861</v>
      </c>
    </row>
    <row r="95" spans="1:8" x14ac:dyDescent="0.25">
      <c r="A95" s="12">
        <v>93</v>
      </c>
      <c r="B95" s="10">
        <v>120434</v>
      </c>
      <c r="C95" s="10">
        <v>237916</v>
      </c>
      <c r="D95" s="10">
        <v>11422</v>
      </c>
      <c r="E95" s="10">
        <v>38878</v>
      </c>
      <c r="F95" s="10">
        <v>12128</v>
      </c>
      <c r="G95" s="10">
        <v>179175</v>
      </c>
      <c r="H95" s="10">
        <v>25150</v>
      </c>
    </row>
    <row r="96" spans="1:8" x14ac:dyDescent="0.25">
      <c r="A96" s="12">
        <v>94</v>
      </c>
      <c r="B96" s="10">
        <v>97692</v>
      </c>
      <c r="C96" s="10">
        <v>201840</v>
      </c>
      <c r="D96" s="10">
        <v>7236</v>
      </c>
      <c r="E96" s="10">
        <v>26679</v>
      </c>
      <c r="F96" s="10">
        <v>7135</v>
      </c>
      <c r="G96" s="10">
        <v>149766</v>
      </c>
      <c r="H96" s="10">
        <v>16958</v>
      </c>
    </row>
    <row r="97" spans="1:8" x14ac:dyDescent="0.25">
      <c r="A97" s="12">
        <v>95</v>
      </c>
      <c r="B97" s="10">
        <v>77590</v>
      </c>
      <c r="C97" s="10">
        <v>167983</v>
      </c>
      <c r="D97" s="10">
        <v>4372</v>
      </c>
      <c r="E97" s="10">
        <v>17512</v>
      </c>
      <c r="F97" s="10">
        <v>3934</v>
      </c>
      <c r="G97" s="10">
        <v>122787</v>
      </c>
      <c r="H97" s="10">
        <v>10942</v>
      </c>
    </row>
    <row r="98" spans="1:8" x14ac:dyDescent="0.25">
      <c r="A98" s="12">
        <v>96</v>
      </c>
      <c r="B98" s="10">
        <v>60210</v>
      </c>
      <c r="C98" s="10">
        <v>136845</v>
      </c>
      <c r="D98" s="10">
        <v>2507</v>
      </c>
      <c r="E98" s="10">
        <v>10938</v>
      </c>
      <c r="F98" s="10">
        <v>2018</v>
      </c>
      <c r="G98" s="10">
        <v>98527</v>
      </c>
      <c r="H98" s="10">
        <v>6723</v>
      </c>
    </row>
    <row r="99" spans="1:8" x14ac:dyDescent="0.25">
      <c r="A99" s="12">
        <v>97</v>
      </c>
      <c r="B99" s="10">
        <v>45543</v>
      </c>
      <c r="C99" s="10">
        <v>108845</v>
      </c>
      <c r="D99" s="10">
        <v>1357</v>
      </c>
      <c r="E99" s="10">
        <v>6463</v>
      </c>
      <c r="F99" s="10">
        <v>954</v>
      </c>
      <c r="G99" s="10">
        <v>77194</v>
      </c>
      <c r="H99" s="10">
        <v>3910</v>
      </c>
    </row>
    <row r="100" spans="1:8" x14ac:dyDescent="0.25">
      <c r="A100" s="12">
        <v>98</v>
      </c>
      <c r="B100" s="10">
        <v>33492</v>
      </c>
      <c r="C100" s="10">
        <v>84294</v>
      </c>
      <c r="D100" s="10">
        <v>690</v>
      </c>
      <c r="E100" s="10">
        <v>3588</v>
      </c>
      <c r="F100" s="10">
        <v>412</v>
      </c>
      <c r="G100" s="10">
        <v>58893</v>
      </c>
      <c r="H100" s="10">
        <v>2139</v>
      </c>
    </row>
    <row r="101" spans="1:8" x14ac:dyDescent="0.25">
      <c r="A101" s="12">
        <v>99</v>
      </c>
      <c r="B101" s="10">
        <v>23878</v>
      </c>
      <c r="C101" s="10">
        <v>63363</v>
      </c>
      <c r="D101" s="10">
        <v>327</v>
      </c>
      <c r="E101" s="10">
        <v>1859</v>
      </c>
      <c r="F101" s="10">
        <v>160</v>
      </c>
      <c r="G101" s="10">
        <v>43620</v>
      </c>
      <c r="H101" s="10">
        <v>1093</v>
      </c>
    </row>
    <row r="102" spans="1:8" x14ac:dyDescent="0.25">
      <c r="A102" s="12">
        <v>100</v>
      </c>
      <c r="B102" s="10">
        <v>16452</v>
      </c>
      <c r="C102" s="10">
        <v>46069</v>
      </c>
      <c r="D102" s="10">
        <v>143</v>
      </c>
      <c r="E102" s="10">
        <v>891</v>
      </c>
      <c r="F102" s="10">
        <v>56</v>
      </c>
      <c r="G102" s="10">
        <v>31260</v>
      </c>
      <c r="H102" s="10">
        <v>517</v>
      </c>
    </row>
    <row r="103" spans="1:8" x14ac:dyDescent="0.25">
      <c r="A103" s="12">
        <v>101</v>
      </c>
      <c r="B103" s="10">
        <v>10917</v>
      </c>
      <c r="C103" s="10">
        <v>32273</v>
      </c>
      <c r="D103" s="10">
        <v>58</v>
      </c>
      <c r="E103" s="10">
        <v>391</v>
      </c>
      <c r="F103" s="10">
        <v>17</v>
      </c>
      <c r="G103" s="10">
        <v>21595</v>
      </c>
      <c r="H103" s="10">
        <v>224</v>
      </c>
    </row>
    <row r="104" spans="1:8" x14ac:dyDescent="0.25">
      <c r="A104" s="12">
        <v>102</v>
      </c>
      <c r="B104" s="10">
        <v>6951</v>
      </c>
      <c r="C104" s="10">
        <v>21688</v>
      </c>
      <c r="D104" s="10">
        <v>21</v>
      </c>
      <c r="E104" s="10">
        <v>156</v>
      </c>
      <c r="F104" s="10">
        <v>4</v>
      </c>
      <c r="G104" s="10">
        <v>14319</v>
      </c>
      <c r="H104" s="10">
        <v>89</v>
      </c>
    </row>
    <row r="105" spans="1:8" x14ac:dyDescent="0.25">
      <c r="A105" s="12">
        <v>103</v>
      </c>
      <c r="B105" s="10">
        <v>4228</v>
      </c>
      <c r="C105" s="10">
        <v>13915</v>
      </c>
      <c r="D105" s="10">
        <v>7</v>
      </c>
      <c r="E105" s="10">
        <v>56</v>
      </c>
      <c r="F105" s="10">
        <v>1</v>
      </c>
      <c r="G105" s="10">
        <v>9071</v>
      </c>
      <c r="H105" s="10">
        <v>31</v>
      </c>
    </row>
    <row r="106" spans="1:8" x14ac:dyDescent="0.25">
      <c r="A106" s="12">
        <v>104</v>
      </c>
      <c r="B106" s="10">
        <v>2446</v>
      </c>
      <c r="C106" s="10">
        <v>8477</v>
      </c>
      <c r="D106" s="10">
        <v>2</v>
      </c>
      <c r="E106" s="10">
        <v>18</v>
      </c>
      <c r="F106" s="10">
        <v>0</v>
      </c>
      <c r="G106" s="10">
        <v>5461</v>
      </c>
      <c r="H106" s="10">
        <v>10</v>
      </c>
    </row>
    <row r="107" spans="1:8" x14ac:dyDescent="0.25">
      <c r="A107" s="12">
        <v>105</v>
      </c>
      <c r="B107" s="10">
        <v>1339</v>
      </c>
      <c r="C107" s="10">
        <v>4874</v>
      </c>
      <c r="D107" s="10">
        <v>1</v>
      </c>
      <c r="E107" s="10">
        <v>5</v>
      </c>
      <c r="F107" s="10">
        <v>0</v>
      </c>
      <c r="G107" s="10">
        <v>3106</v>
      </c>
      <c r="H107" s="10">
        <v>3</v>
      </c>
    </row>
    <row r="108" spans="1:8" x14ac:dyDescent="0.25">
      <c r="A108" s="12">
        <v>106</v>
      </c>
      <c r="B108" s="10">
        <v>690</v>
      </c>
      <c r="C108" s="10">
        <v>2627</v>
      </c>
      <c r="D108" s="10">
        <v>0</v>
      </c>
      <c r="E108" s="10">
        <v>1</v>
      </c>
      <c r="F108" s="10">
        <v>0</v>
      </c>
      <c r="G108" s="10">
        <v>1658</v>
      </c>
      <c r="H108" s="10">
        <v>1</v>
      </c>
    </row>
    <row r="109" spans="1:8" x14ac:dyDescent="0.25">
      <c r="A109" s="12">
        <v>107</v>
      </c>
      <c r="B109" s="10">
        <v>332</v>
      </c>
      <c r="C109" s="10">
        <v>1317</v>
      </c>
      <c r="D109" s="10">
        <v>0</v>
      </c>
      <c r="E109" s="10">
        <v>0</v>
      </c>
      <c r="F109" s="10">
        <v>0</v>
      </c>
      <c r="G109" s="10">
        <v>825</v>
      </c>
      <c r="H109" s="10">
        <v>0</v>
      </c>
    </row>
    <row r="110" spans="1:8" x14ac:dyDescent="0.25">
      <c r="A110" s="12">
        <v>108</v>
      </c>
      <c r="B110" s="10">
        <v>149</v>
      </c>
      <c r="C110" s="10">
        <v>609</v>
      </c>
      <c r="D110" s="10">
        <v>0</v>
      </c>
      <c r="E110" s="10">
        <v>0</v>
      </c>
      <c r="F110" s="10">
        <v>0</v>
      </c>
      <c r="G110" s="10">
        <v>379</v>
      </c>
      <c r="H110" s="10">
        <v>0</v>
      </c>
    </row>
    <row r="111" spans="1:8" x14ac:dyDescent="0.25">
      <c r="A111" s="12">
        <v>109</v>
      </c>
      <c r="B111" s="10">
        <v>61</v>
      </c>
      <c r="C111" s="10">
        <v>258</v>
      </c>
      <c r="D111" s="10">
        <v>0</v>
      </c>
      <c r="E111" s="10">
        <v>0</v>
      </c>
      <c r="F111" s="10">
        <v>0</v>
      </c>
      <c r="G111" s="10">
        <v>160</v>
      </c>
      <c r="H111" s="10">
        <v>0</v>
      </c>
    </row>
    <row r="112" spans="1:8" x14ac:dyDescent="0.25">
      <c r="A112" s="12">
        <v>110</v>
      </c>
      <c r="B112" s="10">
        <v>23</v>
      </c>
      <c r="C112" s="10">
        <v>99</v>
      </c>
      <c r="D112" s="10">
        <v>0</v>
      </c>
      <c r="E112" s="10">
        <v>0</v>
      </c>
      <c r="F112" s="10">
        <v>0</v>
      </c>
      <c r="G112" s="10">
        <v>61</v>
      </c>
      <c r="H112" s="10">
        <v>0</v>
      </c>
    </row>
    <row r="113" spans="1:8" x14ac:dyDescent="0.25">
      <c r="A113" s="12">
        <v>111</v>
      </c>
      <c r="B113" s="10">
        <v>8</v>
      </c>
      <c r="C113" s="10">
        <v>34</v>
      </c>
      <c r="D113" s="10">
        <v>0</v>
      </c>
      <c r="E113" s="10">
        <v>0</v>
      </c>
      <c r="F113" s="10">
        <v>0</v>
      </c>
      <c r="G113" s="10">
        <v>21</v>
      </c>
      <c r="H113" s="10">
        <v>0</v>
      </c>
    </row>
    <row r="114" spans="1:8" x14ac:dyDescent="0.25">
      <c r="A114" s="12">
        <v>112</v>
      </c>
      <c r="B114" s="10">
        <v>2</v>
      </c>
      <c r="C114" s="10">
        <v>10</v>
      </c>
      <c r="D114" s="10">
        <v>0</v>
      </c>
      <c r="E114" s="10">
        <v>0</v>
      </c>
      <c r="F114" s="10">
        <v>0</v>
      </c>
      <c r="G114" s="10">
        <v>6</v>
      </c>
      <c r="H114" s="10">
        <v>0</v>
      </c>
    </row>
    <row r="115" spans="1:8" x14ac:dyDescent="0.25">
      <c r="A115" s="12">
        <v>113</v>
      </c>
      <c r="B115" s="10">
        <v>1</v>
      </c>
      <c r="C115" s="10">
        <v>3</v>
      </c>
      <c r="D115" s="10">
        <v>0</v>
      </c>
      <c r="E115" s="10">
        <v>0</v>
      </c>
      <c r="F115" s="10">
        <v>0</v>
      </c>
      <c r="G115" s="10">
        <v>2</v>
      </c>
      <c r="H115" s="10">
        <v>0</v>
      </c>
    </row>
    <row r="116" spans="1:8" x14ac:dyDescent="0.25">
      <c r="A116" s="12">
        <v>114</v>
      </c>
      <c r="B116" s="10">
        <v>0</v>
      </c>
      <c r="C116" s="10">
        <v>1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</row>
    <row r="117" spans="1:8" x14ac:dyDescent="0.25">
      <c r="A117" s="12">
        <v>115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</row>
    <row r="118" spans="1:8" x14ac:dyDescent="0.25">
      <c r="A118" s="12">
        <v>116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</row>
    <row r="119" spans="1:8" x14ac:dyDescent="0.25">
      <c r="A119" s="12">
        <v>117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</row>
    <row r="120" spans="1:8" x14ac:dyDescent="0.25">
      <c r="A120" s="12">
        <v>118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</row>
    <row r="121" spans="1:8" x14ac:dyDescent="0.25">
      <c r="A121" s="12">
        <v>119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</row>
    <row r="122" spans="1:8" x14ac:dyDescent="0.25">
      <c r="A122" s="12">
        <v>120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DDD5-2BEA-4474-93D1-72B58580CD54}">
  <sheetPr codeName="Sheet1"/>
  <dimension ref="A1:O122"/>
  <sheetViews>
    <sheetView workbookViewId="0">
      <selection activeCell="V10" sqref="V10"/>
    </sheetView>
  </sheetViews>
  <sheetFormatPr defaultRowHeight="15" x14ac:dyDescent="0.25"/>
  <sheetData>
    <row r="1" spans="1:15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16</v>
      </c>
      <c r="G1" t="s">
        <v>14</v>
      </c>
      <c r="H1" t="s">
        <v>15</v>
      </c>
    </row>
    <row r="2" spans="1:15" x14ac:dyDescent="0.25">
      <c r="A2">
        <v>0</v>
      </c>
      <c r="B2" s="10">
        <f t="shared" ref="B2:B33" si="0">K$3*K$4^$A2*K$5^(K$6^$A2)</f>
        <v>1000000.0000424044</v>
      </c>
      <c r="C2" s="10">
        <f t="shared" ref="C2:C33" si="1">L$3*L$4^$A2*L$5^(L$6^$A2)</f>
        <v>999999.99781393481</v>
      </c>
      <c r="D2" s="10">
        <f t="shared" ref="D2:D33" si="2">M$3*M$4^$A2*M$5^(M$6^$A2)</f>
        <v>1000000.0011035916</v>
      </c>
      <c r="E2" s="10">
        <f t="shared" ref="E2:E33" si="3">N$3*N$4^$A2*N$5^(N$6^$A2)</f>
        <v>1000000.0048275816</v>
      </c>
      <c r="F2" s="10">
        <f t="shared" ref="F2:F33" si="4">O$3*O$4^$A2*O$5^(O$6^$A2)</f>
        <v>1000000.0048275816</v>
      </c>
      <c r="G2" s="10">
        <f>(B2+C2)/2</f>
        <v>999999.9989281696</v>
      </c>
      <c r="H2" s="10">
        <f>(D2+E2)/2</f>
        <v>1000000.0029655866</v>
      </c>
      <c r="K2" t="s">
        <v>6</v>
      </c>
      <c r="L2" t="s">
        <v>7</v>
      </c>
      <c r="M2" t="s">
        <v>8</v>
      </c>
      <c r="N2" t="s">
        <v>9</v>
      </c>
      <c r="O2" t="s">
        <v>16</v>
      </c>
    </row>
    <row r="3" spans="1:15" x14ac:dyDescent="0.25">
      <c r="A3">
        <v>1</v>
      </c>
      <c r="B3" s="10">
        <f t="shared" si="0"/>
        <v>999414.77259057458</v>
      </c>
      <c r="C3" s="10">
        <f t="shared" si="1"/>
        <v>999664.05911071179</v>
      </c>
      <c r="D3" s="10">
        <f t="shared" si="2"/>
        <v>999060.15999654052</v>
      </c>
      <c r="E3" s="10">
        <f t="shared" si="3"/>
        <v>999245.54733491282</v>
      </c>
      <c r="F3" s="10">
        <f t="shared" si="4"/>
        <v>999245.18136953353</v>
      </c>
      <c r="G3" s="10">
        <f t="shared" ref="G3:G66" si="5">(B3+C3)/2</f>
        <v>999539.41585064318</v>
      </c>
      <c r="H3" s="10">
        <f t="shared" ref="H3:H66" si="6">(D3+E3)/2</f>
        <v>999152.85366572673</v>
      </c>
      <c r="J3" t="s">
        <v>10</v>
      </c>
      <c r="K3">
        <v>1000266.63</v>
      </c>
      <c r="L3">
        <v>1000048.56</v>
      </c>
      <c r="M3">
        <v>1000450.59</v>
      </c>
      <c r="N3">
        <v>1000097.39</v>
      </c>
      <c r="O3">
        <v>1000097.39</v>
      </c>
    </row>
    <row r="4" spans="1:15" x14ac:dyDescent="0.25">
      <c r="A4">
        <v>2</v>
      </c>
      <c r="B4" s="10">
        <f t="shared" si="0"/>
        <v>998827.1671139251</v>
      </c>
      <c r="C4" s="10">
        <f t="shared" si="1"/>
        <v>999327.57131218247</v>
      </c>
      <c r="D4" s="10">
        <f t="shared" si="2"/>
        <v>998116.35774846887</v>
      </c>
      <c r="E4" s="10">
        <f t="shared" si="3"/>
        <v>998490.29967801913</v>
      </c>
      <c r="F4" s="10">
        <f t="shared" si="4"/>
        <v>998489.48044792435</v>
      </c>
      <c r="G4" s="10">
        <f t="shared" si="5"/>
        <v>999077.36921305372</v>
      </c>
      <c r="H4" s="10">
        <f t="shared" si="6"/>
        <v>998303.32871324406</v>
      </c>
      <c r="J4" t="s">
        <v>11</v>
      </c>
      <c r="K4">
        <v>0.99944170384800002</v>
      </c>
      <c r="L4">
        <v>0.99966973096599998</v>
      </c>
      <c r="M4">
        <v>0.99910687578199997</v>
      </c>
      <c r="N4">
        <v>0.99925704806100002</v>
      </c>
      <c r="O4">
        <v>0.99925704806100002</v>
      </c>
    </row>
    <row r="5" spans="1:15" x14ac:dyDescent="0.25">
      <c r="A5">
        <v>3</v>
      </c>
      <c r="B5" s="10">
        <f t="shared" si="0"/>
        <v>998236.91339038278</v>
      </c>
      <c r="C5" s="10">
        <f t="shared" si="1"/>
        <v>998990.45776419749</v>
      </c>
      <c r="D5" s="10">
        <f t="shared" si="2"/>
        <v>997168.10489355493</v>
      </c>
      <c r="E5" s="10">
        <f t="shared" si="3"/>
        <v>997734.10390091932</v>
      </c>
      <c r="F5" s="10">
        <f t="shared" si="4"/>
        <v>997732.72848900873</v>
      </c>
      <c r="G5" s="10">
        <f t="shared" si="5"/>
        <v>998613.68557729013</v>
      </c>
      <c r="H5" s="10">
        <f t="shared" si="6"/>
        <v>997451.10439723707</v>
      </c>
      <c r="J5" t="s">
        <v>12</v>
      </c>
      <c r="K5">
        <v>0.99973344111499995</v>
      </c>
      <c r="L5">
        <v>0.99995144017199999</v>
      </c>
      <c r="M5">
        <v>0.99954961404300002</v>
      </c>
      <c r="N5">
        <v>0.99990262431099997</v>
      </c>
      <c r="O5">
        <v>0.99990262431099997</v>
      </c>
    </row>
    <row r="6" spans="1:15" x14ac:dyDescent="0.25">
      <c r="A6">
        <v>4</v>
      </c>
      <c r="B6" s="10">
        <f t="shared" si="0"/>
        <v>997643.71410567325</v>
      </c>
      <c r="C6" s="10">
        <f t="shared" si="1"/>
        <v>998652.63289477222</v>
      </c>
      <c r="D6" s="10">
        <f t="shared" si="2"/>
        <v>996214.8618358497</v>
      </c>
      <c r="E6" s="10">
        <f t="shared" si="3"/>
        <v>996976.78356048337</v>
      </c>
      <c r="F6" s="10">
        <f t="shared" si="4"/>
        <v>996974.73094886157</v>
      </c>
      <c r="G6" s="10">
        <f t="shared" si="5"/>
        <v>998148.17350022274</v>
      </c>
      <c r="H6" s="10">
        <f t="shared" si="6"/>
        <v>996595.82269816659</v>
      </c>
      <c r="J6" t="s">
        <v>13</v>
      </c>
      <c r="K6">
        <v>1.10107753603</v>
      </c>
      <c r="L6">
        <v>1.11679245383</v>
      </c>
      <c r="M6">
        <v>1.103798111448</v>
      </c>
      <c r="N6">
        <v>1.118239062025</v>
      </c>
      <c r="O6">
        <v>1.1220000000000001</v>
      </c>
    </row>
    <row r="7" spans="1:15" x14ac:dyDescent="0.25">
      <c r="A7">
        <v>5</v>
      </c>
      <c r="B7" s="10">
        <f t="shared" si="0"/>
        <v>997047.24213948322</v>
      </c>
      <c r="C7" s="10">
        <f t="shared" si="1"/>
        <v>998314.00117640896</v>
      </c>
      <c r="D7" s="10">
        <f t="shared" si="2"/>
        <v>995256.03372106783</v>
      </c>
      <c r="E7" s="10">
        <f t="shared" si="3"/>
        <v>996218.14155828091</v>
      </c>
      <c r="F7" s="10">
        <f t="shared" si="4"/>
        <v>996215.26977533172</v>
      </c>
      <c r="G7" s="10">
        <f t="shared" si="5"/>
        <v>997680.62165794615</v>
      </c>
      <c r="H7" s="10">
        <f t="shared" si="6"/>
        <v>995737.08763967431</v>
      </c>
    </row>
    <row r="8" spans="1:15" x14ac:dyDescent="0.25">
      <c r="A8">
        <v>6</v>
      </c>
      <c r="B8" s="10">
        <f t="shared" si="0"/>
        <v>996447.1375806625</v>
      </c>
      <c r="C8" s="10">
        <f t="shared" si="1"/>
        <v>997974.45596775017</v>
      </c>
      <c r="D8" s="10">
        <f t="shared" si="2"/>
        <v>994290.96478674619</v>
      </c>
      <c r="E8" s="10">
        <f t="shared" si="3"/>
        <v>995457.95771847491</v>
      </c>
      <c r="F8" s="10">
        <f t="shared" si="4"/>
        <v>995454.10056320555</v>
      </c>
      <c r="G8" s="10">
        <f t="shared" si="5"/>
        <v>997210.79677420633</v>
      </c>
      <c r="H8" s="10">
        <f t="shared" si="6"/>
        <v>994874.46125261055</v>
      </c>
    </row>
    <row r="9" spans="1:15" x14ac:dyDescent="0.25">
      <c r="A9">
        <v>7</v>
      </c>
      <c r="B9" s="10">
        <f t="shared" si="0"/>
        <v>995843.00444459589</v>
      </c>
      <c r="C9" s="10">
        <f t="shared" si="1"/>
        <v>997633.87822054746</v>
      </c>
      <c r="D9" s="10">
        <f t="shared" si="2"/>
        <v>993318.93213835661</v>
      </c>
      <c r="E9" s="10">
        <f t="shared" si="3"/>
        <v>994695.98608209915</v>
      </c>
      <c r="F9" s="10">
        <f t="shared" si="4"/>
        <v>994690.94936560781</v>
      </c>
      <c r="G9" s="10">
        <f t="shared" si="5"/>
        <v>996738.44133257167</v>
      </c>
      <c r="H9" s="10">
        <f t="shared" si="6"/>
        <v>994007.45911022788</v>
      </c>
    </row>
    <row r="10" spans="1:15" x14ac:dyDescent="0.25">
      <c r="A10">
        <v>8</v>
      </c>
      <c r="B10" s="10">
        <f t="shared" si="0"/>
        <v>995234.40706325718</v>
      </c>
      <c r="C10" s="10">
        <f t="shared" si="1"/>
        <v>997292.13503631228</v>
      </c>
      <c r="D10" s="10">
        <f t="shared" si="2"/>
        <v>992339.13889383397</v>
      </c>
      <c r="E10" s="10">
        <f t="shared" si="3"/>
        <v>993931.95188460359</v>
      </c>
      <c r="F10" s="10">
        <f t="shared" si="4"/>
        <v>993925.50912021846</v>
      </c>
      <c r="G10" s="10">
        <f t="shared" si="5"/>
        <v>996263.27104978473</v>
      </c>
      <c r="H10" s="10">
        <f t="shared" si="6"/>
        <v>993135.54538921872</v>
      </c>
    </row>
    <row r="11" spans="1:15" x14ac:dyDescent="0.25">
      <c r="A11">
        <v>9</v>
      </c>
      <c r="B11" s="10">
        <f t="shared" si="0"/>
        <v>994620.86611558043</v>
      </c>
      <c r="C11" s="10">
        <f t="shared" si="1"/>
        <v>996949.07805519551</v>
      </c>
      <c r="D11" s="10">
        <f t="shared" si="2"/>
        <v>991350.70663338504</v>
      </c>
      <c r="E11" s="10">
        <f t="shared" si="3"/>
        <v>993165.54817972449</v>
      </c>
      <c r="F11" s="10">
        <f t="shared" si="4"/>
        <v>993157.43564394291</v>
      </c>
      <c r="G11" s="10">
        <f t="shared" si="5"/>
        <v>995784.97208538791</v>
      </c>
      <c r="H11" s="10">
        <f t="shared" si="6"/>
        <v>992258.12740655476</v>
      </c>
    </row>
    <row r="12" spans="1:15" x14ac:dyDescent="0.25">
      <c r="A12">
        <v>10</v>
      </c>
      <c r="B12" s="10">
        <f t="shared" si="0"/>
        <v>994001.85426264512</v>
      </c>
      <c r="C12" s="10">
        <f t="shared" si="1"/>
        <v>996604.5416576392</v>
      </c>
      <c r="D12" s="10">
        <f t="shared" si="2"/>
        <v>990352.66708534781</v>
      </c>
      <c r="E12" s="10">
        <f t="shared" si="3"/>
        <v>992396.43206843978</v>
      </c>
      <c r="F12" s="10">
        <f t="shared" si="4"/>
        <v>992386.34314412146</v>
      </c>
      <c r="G12" s="10">
        <f t="shared" si="5"/>
        <v>995303.19796014216</v>
      </c>
      <c r="H12" s="10">
        <f t="shared" si="6"/>
        <v>991374.5495768938</v>
      </c>
    </row>
    <row r="13" spans="1:15" x14ac:dyDescent="0.25">
      <c r="A13">
        <v>11</v>
      </c>
      <c r="B13" s="10">
        <f t="shared" si="0"/>
        <v>993376.79134873708</v>
      </c>
      <c r="C13" s="10">
        <f t="shared" si="1"/>
        <v>996258.34095707838</v>
      </c>
      <c r="D13" s="10">
        <f t="shared" si="2"/>
        <v>989343.9529722156</v>
      </c>
      <c r="E13" s="10">
        <f t="shared" si="3"/>
        <v>991624.22048702021</v>
      </c>
      <c r="F13" s="10">
        <f t="shared" si="4"/>
        <v>991611.79918818036</v>
      </c>
      <c r="G13" s="10">
        <f t="shared" si="5"/>
        <v>994817.56615290768</v>
      </c>
      <c r="H13" s="10">
        <f t="shared" si="6"/>
        <v>990484.08672961791</v>
      </c>
    </row>
    <row r="14" spans="1:15" x14ac:dyDescent="0.25">
      <c r="A14">
        <v>12</v>
      </c>
      <c r="B14" s="10">
        <f t="shared" si="0"/>
        <v>992745.03912559885</v>
      </c>
      <c r="C14" s="10">
        <f t="shared" si="1"/>
        <v>995910.26955947734</v>
      </c>
      <c r="D14" s="10">
        <f t="shared" si="2"/>
        <v>988323.38793373108</v>
      </c>
      <c r="E14" s="10">
        <f t="shared" si="3"/>
        <v>990848.48550286563</v>
      </c>
      <c r="F14" s="10">
        <f t="shared" si="4"/>
        <v>990833.31906670297</v>
      </c>
      <c r="G14" s="10">
        <f t="shared" si="5"/>
        <v>994327.6543425381</v>
      </c>
      <c r="H14" s="10">
        <f t="shared" si="6"/>
        <v>989585.93671829836</v>
      </c>
    </row>
    <row r="15" spans="1:15" x14ac:dyDescent="0.25">
      <c r="A15">
        <v>13</v>
      </c>
      <c r="B15" s="10">
        <f t="shared" si="0"/>
        <v>992105.89545308379</v>
      </c>
      <c r="C15" s="10">
        <f t="shared" si="1"/>
        <v>995560.09706268052</v>
      </c>
      <c r="D15" s="10">
        <f t="shared" si="2"/>
        <v>987289.67543609615</v>
      </c>
      <c r="E15" s="10">
        <f t="shared" si="3"/>
        <v>990068.74906091148</v>
      </c>
      <c r="F15" s="10">
        <f t="shared" si="4"/>
        <v>990050.35947718238</v>
      </c>
      <c r="G15" s="10">
        <f t="shared" si="5"/>
        <v>993832.9962578821</v>
      </c>
      <c r="H15" s="10">
        <f t="shared" si="6"/>
        <v>988679.21224850381</v>
      </c>
    </row>
    <row r="16" spans="1:15" x14ac:dyDescent="0.25">
      <c r="A16">
        <v>14</v>
      </c>
      <c r="B16" s="10">
        <f t="shared" si="0"/>
        <v>991458.5879249766</v>
      </c>
      <c r="C16" s="10">
        <f t="shared" si="1"/>
        <v>995207.56626545056</v>
      </c>
      <c r="D16" s="10">
        <f t="shared" si="2"/>
        <v>986241.38656786096</v>
      </c>
      <c r="E16" s="10">
        <f t="shared" si="3"/>
        <v>989284.47711681412</v>
      </c>
      <c r="F16" s="10">
        <f t="shared" si="4"/>
        <v>989262.31144709152</v>
      </c>
      <c r="G16" s="10">
        <f t="shared" si="5"/>
        <v>993333.07709521358</v>
      </c>
      <c r="H16" s="10">
        <f t="shared" si="6"/>
        <v>987762.9318423376</v>
      </c>
    </row>
    <row r="17" spans="1:8" x14ac:dyDescent="0.25">
      <c r="A17">
        <v>15</v>
      </c>
      <c r="B17" s="10">
        <f t="shared" si="0"/>
        <v>990802.26686386368</v>
      </c>
      <c r="C17" s="10">
        <f t="shared" si="1"/>
        <v>994852.39005259809</v>
      </c>
      <c r="D17" s="10">
        <f t="shared" si="2"/>
        <v>985176.94661385426</v>
      </c>
      <c r="E17" s="10">
        <f t="shared" si="3"/>
        <v>988495.07308581972</v>
      </c>
      <c r="F17" s="10">
        <f t="shared" si="4"/>
        <v>988468.49240530131</v>
      </c>
      <c r="G17" s="10">
        <f t="shared" si="5"/>
        <v>992827.32845823094</v>
      </c>
      <c r="H17" s="10">
        <f t="shared" si="6"/>
        <v>986836.00984983705</v>
      </c>
    </row>
    <row r="18" spans="1:8" x14ac:dyDescent="0.25">
      <c r="A18">
        <v>16</v>
      </c>
      <c r="B18" s="10">
        <f t="shared" si="0"/>
        <v>990135.99762366794</v>
      </c>
      <c r="C18" s="10">
        <f t="shared" si="1"/>
        <v>994494.24791874306</v>
      </c>
      <c r="D18" s="10">
        <f t="shared" si="2"/>
        <v>984094.62028861686</v>
      </c>
      <c r="E18" s="10">
        <f t="shared" si="3"/>
        <v>987699.8705280805</v>
      </c>
      <c r="F18" s="10">
        <f t="shared" si="4"/>
        <v>987668.13730014942</v>
      </c>
      <c r="G18" s="10">
        <f t="shared" si="5"/>
        <v>992315.1227712055</v>
      </c>
      <c r="H18" s="10">
        <f t="shared" si="6"/>
        <v>985897.24540834874</v>
      </c>
    </row>
    <row r="19" spans="1:8" x14ac:dyDescent="0.25">
      <c r="A19">
        <v>17</v>
      </c>
      <c r="B19" s="10">
        <f t="shared" si="0"/>
        <v>989458.75213269261</v>
      </c>
      <c r="C19" s="10">
        <f t="shared" si="1"/>
        <v>994132.78208895121</v>
      </c>
      <c r="D19" s="10">
        <f t="shared" si="2"/>
        <v>982992.49550013395</v>
      </c>
      <c r="E19" s="10">
        <f t="shared" si="3"/>
        <v>986898.12498218578</v>
      </c>
      <c r="F19" s="10">
        <f t="shared" si="4"/>
        <v>986860.38865054701</v>
      </c>
      <c r="G19" s="10">
        <f t="shared" si="5"/>
        <v>991795.76711082191</v>
      </c>
      <c r="H19" s="10">
        <f t="shared" si="6"/>
        <v>984945.31024115987</v>
      </c>
    </row>
    <row r="20" spans="1:8" x14ac:dyDescent="0.25">
      <c r="A20">
        <v>18</v>
      </c>
      <c r="B20" s="10">
        <f t="shared" si="0"/>
        <v>988769.39960379945</v>
      </c>
      <c r="C20" s="10">
        <f t="shared" si="1"/>
        <v>993767.59318970842</v>
      </c>
      <c r="D20" s="10">
        <f t="shared" si="2"/>
        <v>981868.46550324757</v>
      </c>
      <c r="E20" s="10">
        <f t="shared" si="3"/>
        <v>986089.00484862947</v>
      </c>
      <c r="F20" s="10">
        <f t="shared" si="4"/>
        <v>986044.2854032038</v>
      </c>
      <c r="G20" s="10">
        <f t="shared" si="5"/>
        <v>991268.49639675394</v>
      </c>
      <c r="H20" s="10">
        <f t="shared" si="6"/>
        <v>983978.73517593858</v>
      </c>
    </row>
    <row r="21" spans="1:8" x14ac:dyDescent="0.25">
      <c r="A21">
        <v>19</v>
      </c>
      <c r="B21" s="10">
        <f t="shared" si="0"/>
        <v>988066.69633157447</v>
      </c>
      <c r="C21" s="10">
        <f t="shared" si="1"/>
        <v>993398.23541836464</v>
      </c>
      <c r="D21" s="10">
        <f t="shared" si="2"/>
        <v>980720.20928991714</v>
      </c>
      <c r="E21" s="10">
        <f t="shared" si="3"/>
        <v>985271.58121386543</v>
      </c>
      <c r="F21" s="10">
        <f t="shared" si="4"/>
        <v>985218.75045431405</v>
      </c>
      <c r="G21" s="10">
        <f t="shared" si="5"/>
        <v>990732.46587496949</v>
      </c>
      <c r="H21" s="10">
        <f t="shared" si="6"/>
        <v>982995.89525189134</v>
      </c>
    </row>
    <row r="22" spans="1:8" x14ac:dyDescent="0.25">
      <c r="A22">
        <v>20</v>
      </c>
      <c r="B22" s="10">
        <f t="shared" si="0"/>
        <v>987349.27448903874</v>
      </c>
      <c r="C22" s="10">
        <f t="shared" si="1"/>
        <v>993024.21115327533</v>
      </c>
      <c r="D22" s="10">
        <f t="shared" si="2"/>
        <v>979545.17005053628</v>
      </c>
      <c r="E22" s="10">
        <f t="shared" si="3"/>
        <v>984444.81649328268</v>
      </c>
      <c r="F22" s="10">
        <f t="shared" si="4"/>
        <v>984382.57667762507</v>
      </c>
      <c r="G22" s="10">
        <f t="shared" si="5"/>
        <v>990186.74282115698</v>
      </c>
      <c r="H22" s="10">
        <f t="shared" si="6"/>
        <v>981994.99327190942</v>
      </c>
    </row>
    <row r="23" spans="1:8" x14ac:dyDescent="0.25">
      <c r="A23">
        <v>21</v>
      </c>
      <c r="B23" s="10">
        <f t="shared" si="0"/>
        <v>986615.6298285668</v>
      </c>
      <c r="C23" s="10">
        <f t="shared" si="1"/>
        <v>992644.96494027821</v>
      </c>
      <c r="D23" s="10">
        <f t="shared" si="2"/>
        <v>978340.53152678628</v>
      </c>
      <c r="E23" s="10">
        <f t="shared" si="3"/>
        <v>983607.55175783788</v>
      </c>
      <c r="F23" s="10">
        <f t="shared" si="4"/>
        <v>983534.41128264065</v>
      </c>
      <c r="G23" s="10">
        <f t="shared" si="5"/>
        <v>989630.29738442251</v>
      </c>
      <c r="H23" s="10">
        <f t="shared" si="6"/>
        <v>980974.04164231208</v>
      </c>
    </row>
    <row r="24" spans="1:8" x14ac:dyDescent="0.25">
      <c r="A24">
        <v>22</v>
      </c>
      <c r="B24" s="10">
        <f t="shared" si="0"/>
        <v>985864.10818319209</v>
      </c>
      <c r="C24" s="10">
        <f t="shared" si="1"/>
        <v>992259.87678384723</v>
      </c>
      <c r="D24" s="10">
        <f t="shared" si="2"/>
        <v>977103.19206209772</v>
      </c>
      <c r="E24" s="10">
        <f t="shared" si="3"/>
        <v>982758.49259404198</v>
      </c>
      <c r="F24" s="10">
        <f t="shared" si="4"/>
        <v>982672.73830655497</v>
      </c>
      <c r="G24" s="10">
        <f t="shared" si="5"/>
        <v>989061.99248351972</v>
      </c>
      <c r="H24" s="10">
        <f t="shared" si="6"/>
        <v>979930.84232806985</v>
      </c>
    </row>
    <row r="25" spans="1:8" x14ac:dyDescent="0.25">
      <c r="A25">
        <v>23</v>
      </c>
      <c r="B25" s="10">
        <f t="shared" si="0"/>
        <v>985092.89065536368</v>
      </c>
      <c r="C25" s="10">
        <f t="shared" si="1"/>
        <v>991868.25466315448</v>
      </c>
      <c r="D25" s="10">
        <f t="shared" si="2"/>
        <v>975829.73614074395</v>
      </c>
      <c r="E25" s="10">
        <f t="shared" si="3"/>
        <v>981896.19333041389</v>
      </c>
      <c r="F25" s="10">
        <f t="shared" si="4"/>
        <v>981795.85902125284</v>
      </c>
      <c r="G25" s="10">
        <f t="shared" si="5"/>
        <v>988480.57265925908</v>
      </c>
      <c r="H25" s="10">
        <f t="shared" si="6"/>
        <v>978862.96473557898</v>
      </c>
    </row>
    <row r="26" spans="1:8" x14ac:dyDescent="0.25">
      <c r="A26">
        <v>24</v>
      </c>
      <c r="B26" s="10">
        <f t="shared" si="0"/>
        <v>984299.97737046366</v>
      </c>
      <c r="C26" s="10">
        <f t="shared" si="1"/>
        <v>991469.32618427009</v>
      </c>
      <c r="D26" s="10">
        <f t="shared" si="2"/>
        <v>974516.40319105517</v>
      </c>
      <c r="E26" s="10">
        <f t="shared" si="3"/>
        <v>981019.03944522783</v>
      </c>
      <c r="F26" s="10">
        <f t="shared" si="4"/>
        <v>980901.87001212221</v>
      </c>
      <c r="G26" s="10">
        <f t="shared" si="5"/>
        <v>987884.65177736687</v>
      </c>
      <c r="H26" s="10">
        <f t="shared" si="6"/>
        <v>977767.72131814156</v>
      </c>
    </row>
    <row r="27" spans="1:8" x14ac:dyDescent="0.25">
      <c r="A27">
        <v>25</v>
      </c>
      <c r="B27" s="10">
        <f t="shared" si="0"/>
        <v>983483.16966199526</v>
      </c>
      <c r="C27" s="10">
        <f t="shared" si="1"/>
        <v>991062.22926976334</v>
      </c>
      <c r="D27" s="10">
        <f t="shared" si="2"/>
        <v>973159.05341236084</v>
      </c>
      <c r="E27" s="10">
        <f t="shared" si="3"/>
        <v>980125.22795030009</v>
      </c>
      <c r="F27" s="10">
        <f t="shared" si="4"/>
        <v>979988.63865836756</v>
      </c>
      <c r="G27" s="10">
        <f t="shared" si="5"/>
        <v>987272.69946587924</v>
      </c>
      <c r="H27" s="10">
        <f t="shared" si="6"/>
        <v>976642.14068133046</v>
      </c>
    </row>
    <row r="28" spans="1:8" x14ac:dyDescent="0.25">
      <c r="A28">
        <v>26</v>
      </c>
      <c r="B28" s="10">
        <f t="shared" si="0"/>
        <v>982640.05054430908</v>
      </c>
      <c r="C28" s="10">
        <f t="shared" si="1"/>
        <v>990646.00177592377</v>
      </c>
      <c r="D28" s="10">
        <f t="shared" si="2"/>
        <v>971753.13036928757</v>
      </c>
      <c r="E28" s="10">
        <f t="shared" si="3"/>
        <v>979212.74552350084</v>
      </c>
      <c r="F28" s="10">
        <f t="shared" si="4"/>
        <v>979053.77571477124</v>
      </c>
      <c r="G28" s="10">
        <f t="shared" si="5"/>
        <v>986643.02616011642</v>
      </c>
      <c r="H28" s="10">
        <f t="shared" si="6"/>
        <v>975482.9379463942</v>
      </c>
    </row>
    <row r="29" spans="1:8" x14ac:dyDescent="0.25">
      <c r="A29">
        <v>27</v>
      </c>
      <c r="B29" s="10">
        <f t="shared" si="0"/>
        <v>981767.96331706073</v>
      </c>
      <c r="C29" s="10">
        <f t="shared" si="1"/>
        <v>990219.56991560082</v>
      </c>
      <c r="D29" s="10">
        <f t="shared" si="2"/>
        <v>970293.62008125207</v>
      </c>
      <c r="E29" s="10">
        <f t="shared" si="3"/>
        <v>978279.34413856128</v>
      </c>
      <c r="F29" s="10">
        <f t="shared" si="4"/>
        <v>978094.60466230172</v>
      </c>
      <c r="G29" s="10">
        <f t="shared" si="5"/>
        <v>985993.76661633071</v>
      </c>
      <c r="H29" s="10">
        <f t="shared" si="6"/>
        <v>974286.48210990662</v>
      </c>
    </row>
    <row r="30" spans="1:8" x14ac:dyDescent="0.25">
      <c r="A30">
        <v>28</v>
      </c>
      <c r="B30" s="10">
        <f t="shared" si="0"/>
        <v>980863.98813334957</v>
      </c>
      <c r="C30" s="10">
        <f t="shared" si="1"/>
        <v>989781.73535115842</v>
      </c>
      <c r="D30" s="10">
        <f t="shared" si="2"/>
        <v>968775.00631982391</v>
      </c>
      <c r="E30" s="10">
        <f t="shared" si="3"/>
        <v>977322.51391441224</v>
      </c>
      <c r="F30" s="10">
        <f t="shared" si="4"/>
        <v>977108.12745942152</v>
      </c>
      <c r="G30" s="10">
        <f t="shared" si="5"/>
        <v>985322.861742254</v>
      </c>
      <c r="H30" s="10">
        <f t="shared" si="6"/>
        <v>973048.76011711801</v>
      </c>
    </row>
    <row r="31" spans="1:8" x14ac:dyDescent="0.25">
      <c r="A31">
        <v>29</v>
      </c>
      <c r="B31" s="10">
        <f t="shared" si="0"/>
        <v>979924.91635069659</v>
      </c>
      <c r="C31" s="10">
        <f t="shared" si="1"/>
        <v>989331.16080714262</v>
      </c>
      <c r="D31" s="10">
        <f t="shared" si="2"/>
        <v>967191.22181257</v>
      </c>
      <c r="E31" s="10">
        <f t="shared" si="3"/>
        <v>976339.45287767111</v>
      </c>
      <c r="F31" s="10">
        <f t="shared" si="4"/>
        <v>976090.98628733109</v>
      </c>
      <c r="G31" s="10">
        <f t="shared" si="5"/>
        <v>984628.0385789196</v>
      </c>
      <c r="H31" s="10">
        <f t="shared" si="6"/>
        <v>971765.3373451205</v>
      </c>
    </row>
    <row r="32" spans="1:8" x14ac:dyDescent="0.25">
      <c r="A32">
        <v>30</v>
      </c>
      <c r="B32" s="10">
        <f t="shared" si="0"/>
        <v>978947.22247081297</v>
      </c>
      <c r="C32" s="10">
        <f t="shared" si="1"/>
        <v>988866.35403582966</v>
      </c>
      <c r="D32" s="10">
        <f t="shared" si="2"/>
        <v>965535.59503975988</v>
      </c>
      <c r="E32" s="10">
        <f t="shared" si="3"/>
        <v>975327.03330087871</v>
      </c>
      <c r="F32" s="10">
        <f t="shared" si="4"/>
        <v>975039.42084059422</v>
      </c>
      <c r="G32" s="10">
        <f t="shared" si="5"/>
        <v>983906.78825332131</v>
      </c>
      <c r="H32" s="10">
        <f t="shared" si="6"/>
        <v>970431.31417031935</v>
      </c>
    </row>
    <row r="33" spans="1:8" x14ac:dyDescent="0.25">
      <c r="A33">
        <v>31</v>
      </c>
      <c r="B33" s="10">
        <f t="shared" si="0"/>
        <v>977927.03346059693</v>
      </c>
      <c r="C33" s="10">
        <f t="shared" si="1"/>
        <v>988385.64995076763</v>
      </c>
      <c r="D33" s="10">
        <f t="shared" si="2"/>
        <v>963800.79230068717</v>
      </c>
      <c r="E33" s="10">
        <f t="shared" si="3"/>
        <v>974281.76424568007</v>
      </c>
      <c r="F33" s="10">
        <f t="shared" si="4"/>
        <v>973949.22066967061</v>
      </c>
      <c r="G33" s="10">
        <f t="shared" si="5"/>
        <v>983156.34170568222</v>
      </c>
      <c r="H33" s="10">
        <f t="shared" si="6"/>
        <v>969041.27827318362</v>
      </c>
    </row>
    <row r="34" spans="1:8" x14ac:dyDescent="0.25">
      <c r="A34">
        <v>32</v>
      </c>
      <c r="B34" s="10">
        <f t="shared" ref="B34:B65" si="7">K$3*K$4^$A34*K$5^(K$6^$A34)</f>
        <v>976860.09523315413</v>
      </c>
      <c r="C34" s="10">
        <f t="shared" ref="C34:C65" si="8">L$3*L$4^$A34*L$5^(L$6^$A34)</f>
        <v>987887.19072356878</v>
      </c>
      <c r="D34" s="10">
        <f t="shared" ref="D34:D65" si="9">M$3*M$4^$A34*M$5^(M$6^$A34)</f>
        <v>961978.7547204704</v>
      </c>
      <c r="E34" s="10">
        <f t="shared" ref="E34:E65" si="10">N$3*N$4^$A34*N$5^(N$6^$A34)</f>
        <v>973199.74990430276</v>
      </c>
      <c r="F34" s="10">
        <f t="shared" ref="F34:F65" si="11">O$3*O$4^$A34*O$5^(O$6^$A34)</f>
        <v>972815.67203387013</v>
      </c>
      <c r="G34" s="10">
        <f t="shared" si="5"/>
        <v>982373.64297836146</v>
      </c>
      <c r="H34" s="10">
        <f t="shared" si="6"/>
        <v>967589.25231238664</v>
      </c>
    </row>
    <row r="35" spans="1:8" x14ac:dyDescent="0.25">
      <c r="A35">
        <v>33</v>
      </c>
      <c r="B35" s="10">
        <f t="shared" si="7"/>
        <v>975741.73605411989</v>
      </c>
      <c r="C35" s="10">
        <f t="shared" si="8"/>
        <v>987368.90361748938</v>
      </c>
      <c r="D35" s="10">
        <f t="shared" si="9"/>
        <v>960060.62986732239</v>
      </c>
      <c r="E35" s="10">
        <f t="shared" si="10"/>
        <v>972076.64329457527</v>
      </c>
      <c r="F35" s="10">
        <f t="shared" si="11"/>
        <v>971633.49867246312</v>
      </c>
      <c r="G35" s="10">
        <f t="shared" si="5"/>
        <v>981555.31983580464</v>
      </c>
      <c r="H35" s="10">
        <f t="shared" si="6"/>
        <v>966068.63658094883</v>
      </c>
    </row>
    <row r="36" spans="1:8" x14ac:dyDescent="0.25">
      <c r="A36">
        <v>34</v>
      </c>
      <c r="B36" s="10">
        <f t="shared" si="7"/>
        <v>974566.82662546297</v>
      </c>
      <c r="C36" s="10">
        <f t="shared" si="8"/>
        <v>986828.47630757594</v>
      </c>
      <c r="D36" s="10">
        <f t="shared" si="9"/>
        <v>958036.69765607582</v>
      </c>
      <c r="E36" s="10">
        <f t="shared" si="10"/>
        <v>970907.59482344985</v>
      </c>
      <c r="F36" s="10">
        <f t="shared" si="11"/>
        <v>970396.7958484299</v>
      </c>
      <c r="G36" s="10">
        <f t="shared" si="5"/>
        <v>980697.65146651946</v>
      </c>
      <c r="H36" s="10">
        <f t="shared" si="6"/>
        <v>964472.14623976289</v>
      </c>
    </row>
    <row r="37" spans="1:8" x14ac:dyDescent="0.25">
      <c r="A37">
        <v>35</v>
      </c>
      <c r="B37" s="10">
        <f t="shared" si="7"/>
        <v>973329.73658669018</v>
      </c>
      <c r="C37" s="10">
        <f t="shared" si="8"/>
        <v>986263.32941127801</v>
      </c>
      <c r="D37" s="10">
        <f t="shared" si="9"/>
        <v>955896.29022824671</v>
      </c>
      <c r="E37" s="10">
        <f t="shared" si="10"/>
        <v>969687.19519196288</v>
      </c>
      <c r="F37" s="10">
        <f t="shared" si="11"/>
        <v>969098.95696435857</v>
      </c>
      <c r="G37" s="10">
        <f t="shared" si="5"/>
        <v>979796.5329989841</v>
      </c>
      <c r="H37" s="10">
        <f t="shared" si="6"/>
        <v>962791.74271010479</v>
      </c>
    </row>
    <row r="38" spans="1:8" x14ac:dyDescent="0.25">
      <c r="A38">
        <v>36</v>
      </c>
      <c r="B38" s="10">
        <f t="shared" si="7"/>
        <v>972024.28716245573</v>
      </c>
      <c r="C38" s="10">
        <f t="shared" si="8"/>
        <v>985670.58592533669</v>
      </c>
      <c r="D38" s="10">
        <f t="shared" si="9"/>
        <v>953627.70552456449</v>
      </c>
      <c r="E38" s="10">
        <f t="shared" si="10"/>
        <v>968409.41207119334</v>
      </c>
      <c r="F38" s="10">
        <f t="shared" si="11"/>
        <v>967732.59199417522</v>
      </c>
      <c r="G38" s="10">
        <f t="shared" si="5"/>
        <v>978847.43654389621</v>
      </c>
      <c r="H38" s="10">
        <f t="shared" si="6"/>
        <v>961018.55879787891</v>
      </c>
    </row>
    <row r="39" spans="1:8" x14ac:dyDescent="0.25">
      <c r="A39">
        <v>37</v>
      </c>
      <c r="B39" s="10">
        <f t="shared" si="7"/>
        <v>970643.69967664371</v>
      </c>
      <c r="C39" s="10">
        <f t="shared" si="8"/>
        <v>985047.03723437618</v>
      </c>
      <c r="D39" s="10">
        <f t="shared" si="9"/>
        <v>951218.11430571834</v>
      </c>
      <c r="E39" s="10">
        <f t="shared" si="10"/>
        <v>967067.51993485494</v>
      </c>
      <c r="F39" s="10">
        <f t="shared" si="11"/>
        <v>966289.43691911013</v>
      </c>
      <c r="G39" s="10">
        <f t="shared" si="5"/>
        <v>977845.36845550989</v>
      </c>
      <c r="H39" s="10">
        <f t="shared" si="6"/>
        <v>959142.81712028664</v>
      </c>
    </row>
    <row r="40" spans="1:8" x14ac:dyDescent="0.25">
      <c r="A40">
        <v>38</v>
      </c>
      <c r="B40" s="10">
        <f t="shared" si="7"/>
        <v>969180.53964688268</v>
      </c>
      <c r="C40" s="10">
        <f t="shared" si="8"/>
        <v>984389.10532394075</v>
      </c>
      <c r="D40" s="10">
        <f t="shared" si="9"/>
        <v>948653.46043470968</v>
      </c>
      <c r="E40" s="10">
        <f t="shared" si="10"/>
        <v>965654.02239063778</v>
      </c>
      <c r="F40" s="10">
        <f t="shared" si="11"/>
        <v>964760.25330339244</v>
      </c>
      <c r="G40" s="10">
        <f t="shared" si="5"/>
        <v>976784.82248541177</v>
      </c>
      <c r="H40" s="10">
        <f t="shared" si="6"/>
        <v>957153.74141267373</v>
      </c>
    </row>
    <row r="41" spans="1:8" x14ac:dyDescent="0.25">
      <c r="A41">
        <v>39</v>
      </c>
      <c r="B41" s="10">
        <f t="shared" si="7"/>
        <v>967626.65617113619</v>
      </c>
      <c r="C41" s="10">
        <f t="shared" si="8"/>
        <v>983692.80079574825</v>
      </c>
      <c r="D41" s="10">
        <f t="shared" si="9"/>
        <v>945918.35431400687</v>
      </c>
      <c r="E41" s="10">
        <f t="shared" si="10"/>
        <v>964160.56631074054</v>
      </c>
      <c r="F41" s="10">
        <f t="shared" si="11"/>
        <v>963134.71709717624</v>
      </c>
      <c r="G41" s="10">
        <f t="shared" si="5"/>
        <v>975659.72848344222</v>
      </c>
      <c r="H41" s="10">
        <f t="shared" si="6"/>
        <v>955039.4603123737</v>
      </c>
    </row>
    <row r="42" spans="1:8" x14ac:dyDescent="0.25">
      <c r="A42">
        <v>40</v>
      </c>
      <c r="B42" s="10">
        <f t="shared" si="7"/>
        <v>965973.11632075917</v>
      </c>
      <c r="C42" s="10">
        <f t="shared" si="8"/>
        <v>982953.6762457802</v>
      </c>
      <c r="D42" s="10">
        <f t="shared" si="9"/>
        <v>942995.95947798621</v>
      </c>
      <c r="E42" s="10">
        <f t="shared" si="10"/>
        <v>962577.84702399187</v>
      </c>
      <c r="F42" s="10">
        <f t="shared" si="11"/>
        <v>961401.29571443878</v>
      </c>
      <c r="G42" s="10">
        <f t="shared" si="5"/>
        <v>974463.39628326963</v>
      </c>
      <c r="H42" s="10">
        <f t="shared" si="6"/>
        <v>952786.90325098904</v>
      </c>
    </row>
    <row r="43" spans="1:8" x14ac:dyDescent="0.25">
      <c r="A43">
        <v>41</v>
      </c>
      <c r="B43" s="10">
        <f t="shared" si="7"/>
        <v>964210.13426374935</v>
      </c>
      <c r="C43" s="10">
        <f t="shared" si="8"/>
        <v>982166.7745267034</v>
      </c>
      <c r="D43" s="10">
        <f t="shared" si="9"/>
        <v>939867.87248208455</v>
      </c>
      <c r="E43" s="10">
        <f t="shared" si="10"/>
        <v>960895.50380006689</v>
      </c>
      <c r="F43" s="10">
        <f t="shared" si="11"/>
        <v>959547.11240647722</v>
      </c>
      <c r="G43" s="10">
        <f t="shared" si="5"/>
        <v>973188.45439522644</v>
      </c>
      <c r="H43" s="10">
        <f t="shared" si="6"/>
        <v>950381.68814107566</v>
      </c>
    </row>
    <row r="44" spans="1:8" x14ac:dyDescent="0.25">
      <c r="A44">
        <v>42</v>
      </c>
      <c r="B44" s="10">
        <f t="shared" si="7"/>
        <v>962326.99485970091</v>
      </c>
      <c r="C44" s="10">
        <f t="shared" si="8"/>
        <v>981326.57137533592</v>
      </c>
      <c r="D44" s="10">
        <f t="shared" si="9"/>
        <v>936513.99641213089</v>
      </c>
      <c r="E44" s="10">
        <f t="shared" si="10"/>
        <v>959102.00483368291</v>
      </c>
      <c r="F44" s="10">
        <f t="shared" si="11"/>
        <v>957557.79694285756</v>
      </c>
      <c r="G44" s="10">
        <f t="shared" si="5"/>
        <v>971826.78311751841</v>
      </c>
      <c r="H44" s="10">
        <f t="shared" si="6"/>
        <v>947808.00062290695</v>
      </c>
    </row>
    <row r="45" spans="1:8" x14ac:dyDescent="0.25">
      <c r="A45">
        <v>43</v>
      </c>
      <c r="B45" s="10">
        <f t="shared" si="7"/>
        <v>960311.97149646247</v>
      </c>
      <c r="C45" s="10">
        <f t="shared" si="8"/>
        <v>980426.91184395086</v>
      </c>
      <c r="D45" s="10">
        <f t="shared" si="9"/>
        <v>932912.40856909531</v>
      </c>
      <c r="E45" s="10">
        <f t="shared" si="10"/>
        <v>957184.52092748438</v>
      </c>
      <c r="F45" s="10">
        <f t="shared" si="11"/>
        <v>955417.32162858231</v>
      </c>
      <c r="G45" s="10">
        <f t="shared" si="5"/>
        <v>970369.44167020661</v>
      </c>
      <c r="H45" s="10">
        <f t="shared" si="6"/>
        <v>945048.4647482899</v>
      </c>
    </row>
    <row r="46" spans="1:8" x14ac:dyDescent="0.25">
      <c r="A46">
        <v>44</v>
      </c>
      <c r="B46" s="10">
        <f t="shared" si="7"/>
        <v>958152.23798044643</v>
      </c>
      <c r="C46" s="10">
        <f t="shared" si="8"/>
        <v>979460.93993186974</v>
      </c>
      <c r="D46" s="10">
        <f t="shared" si="9"/>
        <v>929039.22317615408</v>
      </c>
      <c r="E46" s="10">
        <f t="shared" si="10"/>
        <v>955128.78708181891</v>
      </c>
      <c r="F46" s="10">
        <f t="shared" si="11"/>
        <v>953107.82173821738</v>
      </c>
      <c r="G46" s="10">
        <f t="shared" si="5"/>
        <v>968806.58895615814</v>
      </c>
      <c r="H46" s="10">
        <f t="shared" si="6"/>
        <v>942084.00512898644</v>
      </c>
    </row>
    <row r="47" spans="1:8" x14ac:dyDescent="0.25">
      <c r="A47">
        <v>45</v>
      </c>
      <c r="B47" s="10">
        <f t="shared" si="7"/>
        <v>955833.77435119799</v>
      </c>
      <c r="C47" s="10">
        <f t="shared" si="8"/>
        <v>978421.02077203197</v>
      </c>
      <c r="D47" s="10">
        <f t="shared" si="9"/>
        <v>924868.45031811518</v>
      </c>
      <c r="E47" s="10">
        <f t="shared" si="10"/>
        <v>952918.95123445813</v>
      </c>
      <c r="F47" s="10">
        <f t="shared" si="11"/>
        <v>950609.39954658935</v>
      </c>
      <c r="G47" s="10">
        <f t="shared" si="5"/>
        <v>967127.39756161498</v>
      </c>
      <c r="H47" s="10">
        <f t="shared" si="6"/>
        <v>938893.70077628666</v>
      </c>
    </row>
    <row r="48" spans="1:8" x14ac:dyDescent="0.25">
      <c r="A48">
        <v>46</v>
      </c>
      <c r="B48" s="10">
        <f t="shared" si="7"/>
        <v>953341.26657016901</v>
      </c>
      <c r="C48" s="10">
        <f t="shared" si="8"/>
        <v>977298.65468742198</v>
      </c>
      <c r="D48" s="10">
        <f t="shared" si="9"/>
        <v>920371.85277131968</v>
      </c>
      <c r="E48" s="10">
        <f t="shared" si="10"/>
        <v>950537.40946193994</v>
      </c>
      <c r="F48" s="10">
        <f t="shared" si="11"/>
        <v>947899.91129637754</v>
      </c>
      <c r="G48" s="10">
        <f t="shared" si="5"/>
        <v>965319.96062879544</v>
      </c>
      <c r="H48" s="10">
        <f t="shared" si="6"/>
        <v>935454.63111662981</v>
      </c>
    </row>
    <row r="49" spans="1:8" x14ac:dyDescent="0.25">
      <c r="A49">
        <v>47</v>
      </c>
      <c r="B49" s="10">
        <f t="shared" si="7"/>
        <v>950658.00013827172</v>
      </c>
      <c r="C49" s="10">
        <f t="shared" si="8"/>
        <v>976084.38239620393</v>
      </c>
      <c r="D49" s="10">
        <f t="shared" si="9"/>
        <v>915518.80293008103</v>
      </c>
      <c r="E49" s="10">
        <f t="shared" si="10"/>
        <v>947964.62706709187</v>
      </c>
      <c r="F49" s="10">
        <f t="shared" si="11"/>
        <v>944954.73668401444</v>
      </c>
      <c r="G49" s="10">
        <f t="shared" si="5"/>
        <v>963371.19126723777</v>
      </c>
      <c r="H49" s="10">
        <f t="shared" si="6"/>
        <v>931741.71499858645</v>
      </c>
    </row>
    <row r="50" spans="1:8" x14ac:dyDescent="0.25">
      <c r="A50">
        <v>48</v>
      </c>
      <c r="B50" s="10">
        <f t="shared" si="7"/>
        <v>947765.74783226673</v>
      </c>
      <c r="C50" s="10">
        <f t="shared" si="8"/>
        <v>974767.68061453907</v>
      </c>
      <c r="D50" s="10">
        <f t="shared" si="9"/>
        <v>910276.14270038169</v>
      </c>
      <c r="E50" s="10">
        <f t="shared" si="10"/>
        <v>945178.94514748827</v>
      </c>
      <c r="F50" s="10">
        <f t="shared" si="11"/>
        <v>941746.53078981233</v>
      </c>
      <c r="G50" s="10">
        <f t="shared" si="5"/>
        <v>961266.7142234029</v>
      </c>
      <c r="H50" s="10">
        <f t="shared" si="6"/>
        <v>927727.54392393492</v>
      </c>
    </row>
    <row r="51" spans="1:8" x14ac:dyDescent="0.25">
      <c r="A51">
        <v>49</v>
      </c>
      <c r="B51" s="10">
        <f t="shared" si="7"/>
        <v>944644.65192280977</v>
      </c>
      <c r="C51" s="10">
        <f t="shared" si="8"/>
        <v>973336.8472854743</v>
      </c>
      <c r="D51" s="10">
        <f t="shared" si="9"/>
        <v>904608.05003111192</v>
      </c>
      <c r="E51" s="10">
        <f t="shared" si="10"/>
        <v>942156.37248318107</v>
      </c>
      <c r="F51" s="10">
        <f t="shared" si="11"/>
        <v>938244.95885440614</v>
      </c>
      <c r="G51" s="10">
        <f t="shared" si="5"/>
        <v>958990.74960414204</v>
      </c>
      <c r="H51" s="10">
        <f t="shared" si="6"/>
        <v>923382.21125714644</v>
      </c>
    </row>
    <row r="52" spans="1:8" x14ac:dyDescent="0.25">
      <c r="A52">
        <v>50</v>
      </c>
      <c r="B52" s="10">
        <f t="shared" si="7"/>
        <v>941273.10145458044</v>
      </c>
      <c r="C52" s="10">
        <f t="shared" si="8"/>
        <v>971778.87565497519</v>
      </c>
      <c r="D52" s="10">
        <f t="shared" si="9"/>
        <v>898475.91670708393</v>
      </c>
      <c r="E52" s="10">
        <f t="shared" si="10"/>
        <v>938870.3629186718</v>
      </c>
      <c r="F52" s="10">
        <f t="shared" si="11"/>
        <v>934416.41494579555</v>
      </c>
      <c r="G52" s="10">
        <f t="shared" si="5"/>
        <v>956525.98855477781</v>
      </c>
      <c r="H52" s="10">
        <f t="shared" si="6"/>
        <v>918673.13981287787</v>
      </c>
    </row>
    <row r="53" spans="1:8" x14ac:dyDescent="0.25">
      <c r="A53">
        <v>51</v>
      </c>
      <c r="B53" s="10">
        <f t="shared" si="7"/>
        <v>937627.60544010601</v>
      </c>
      <c r="C53" s="10">
        <f t="shared" si="8"/>
        <v>970079.31642723316</v>
      </c>
      <c r="D53" s="10">
        <f t="shared" si="9"/>
        <v>891838.24315634603</v>
      </c>
      <c r="E53" s="10">
        <f t="shared" si="10"/>
        <v>935291.57886767038</v>
      </c>
      <c r="F53" s="10">
        <f t="shared" si="11"/>
        <v>930223.72641104425</v>
      </c>
      <c r="G53" s="10">
        <f t="shared" si="5"/>
        <v>953853.46093366959</v>
      </c>
      <c r="H53" s="10">
        <f t="shared" si="6"/>
        <v>913564.9110120082</v>
      </c>
    </row>
    <row r="54" spans="1:8" x14ac:dyDescent="0.25">
      <c r="A54">
        <v>52</v>
      </c>
      <c r="B54" s="10">
        <f t="shared" si="7"/>
        <v>933682.66315360053</v>
      </c>
      <c r="C54" s="10">
        <f t="shared" si="8"/>
        <v>968222.12726723286</v>
      </c>
      <c r="D54" s="10">
        <f t="shared" si="9"/>
        <v>884650.55734655517</v>
      </c>
      <c r="E54" s="10">
        <f t="shared" si="10"/>
        <v>931387.64216843119</v>
      </c>
      <c r="F54" s="10">
        <f t="shared" si="11"/>
        <v>925625.84711345332</v>
      </c>
      <c r="G54" s="10">
        <f t="shared" si="5"/>
        <v>950952.39521041675</v>
      </c>
      <c r="H54" s="10">
        <f t="shared" si="6"/>
        <v>908019.09975749324</v>
      </c>
    </row>
    <row r="55" spans="1:8" x14ac:dyDescent="0.25">
      <c r="A55">
        <v>53</v>
      </c>
      <c r="B55" s="10">
        <f t="shared" si="7"/>
        <v>929410.63312077953</v>
      </c>
      <c r="C55" s="10">
        <f t="shared" si="8"/>
        <v>966189.50898734946</v>
      </c>
      <c r="D55" s="10">
        <f t="shared" si="9"/>
        <v>876865.36637896928</v>
      </c>
      <c r="E55" s="10">
        <f t="shared" si="10"/>
        <v>927122.87429664424</v>
      </c>
      <c r="F55" s="10">
        <f t="shared" si="11"/>
        <v>920577.54387815064</v>
      </c>
      <c r="G55" s="10">
        <f t="shared" si="5"/>
        <v>947800.07105406444</v>
      </c>
      <c r="H55" s="10">
        <f t="shared" si="6"/>
        <v>901994.12033780676</v>
      </c>
    </row>
    <row r="56" spans="1:8" x14ac:dyDescent="0.25">
      <c r="A56">
        <v>54</v>
      </c>
      <c r="B56" s="10">
        <f t="shared" si="7"/>
        <v>924781.60289779701</v>
      </c>
      <c r="C56" s="10">
        <f t="shared" si="8"/>
        <v>963961.72786647314</v>
      </c>
      <c r="D56" s="10">
        <f t="shared" si="9"/>
        <v>868432.15114766126</v>
      </c>
      <c r="E56" s="10">
        <f t="shared" si="10"/>
        <v>922458.02894238487</v>
      </c>
      <c r="F56" s="10">
        <f t="shared" si="11"/>
        <v>915029.08237410511</v>
      </c>
      <c r="G56" s="10">
        <f t="shared" si="5"/>
        <v>944371.66538213508</v>
      </c>
      <c r="H56" s="10">
        <f t="shared" si="6"/>
        <v>895445.09004502301</v>
      </c>
    </row>
    <row r="57" spans="1:8" x14ac:dyDescent="0.25">
      <c r="A57">
        <v>55</v>
      </c>
      <c r="B57" s="10">
        <f t="shared" si="7"/>
        <v>919763.26233121636</v>
      </c>
      <c r="C57" s="10">
        <f t="shared" si="8"/>
        <v>961516.92371738236</v>
      </c>
      <c r="D57" s="10">
        <f t="shared" si="9"/>
        <v>859297.41642243904</v>
      </c>
      <c r="E57" s="10">
        <f t="shared" si="10"/>
        <v>917350.02122445358</v>
      </c>
      <c r="F57" s="10">
        <f t="shared" si="11"/>
        <v>908925.92092559894</v>
      </c>
      <c r="G57" s="10">
        <f t="shared" si="5"/>
        <v>940640.09302429936</v>
      </c>
      <c r="H57" s="10">
        <f t="shared" si="6"/>
        <v>888323.71882344631</v>
      </c>
    </row>
    <row r="58" spans="1:8" x14ac:dyDescent="0.25">
      <c r="A58">
        <v>56</v>
      </c>
      <c r="B58" s="10">
        <f t="shared" si="7"/>
        <v>914320.78370635724</v>
      </c>
      <c r="C58" s="10">
        <f t="shared" si="8"/>
        <v>958830.9035560803</v>
      </c>
      <c r="D58" s="10">
        <f t="shared" si="9"/>
        <v>849404.8109322642</v>
      </c>
      <c r="E58" s="10">
        <f t="shared" si="10"/>
        <v>911751.65940336313</v>
      </c>
      <c r="F58" s="10">
        <f t="shared" si="11"/>
        <v>902208.42355663702</v>
      </c>
      <c r="G58" s="10">
        <f t="shared" si="5"/>
        <v>936575.84363121877</v>
      </c>
      <c r="H58" s="10">
        <f t="shared" si="6"/>
        <v>880578.23516781372</v>
      </c>
    </row>
    <row r="59" spans="1:8" x14ac:dyDescent="0.25">
      <c r="A59">
        <v>57</v>
      </c>
      <c r="B59" s="10">
        <f t="shared" si="7"/>
        <v>908416.71303935791</v>
      </c>
      <c r="C59" s="10">
        <f t="shared" si="8"/>
        <v>955876.92105435207</v>
      </c>
      <c r="D59" s="10">
        <f t="shared" si="9"/>
        <v>838695.33445081359</v>
      </c>
      <c r="E59" s="10">
        <f t="shared" si="10"/>
        <v>905611.3869235795</v>
      </c>
      <c r="F59" s="10">
        <f t="shared" si="11"/>
        <v>894811.60701947706</v>
      </c>
      <c r="G59" s="10">
        <f t="shared" si="5"/>
        <v>932146.81704685499</v>
      </c>
      <c r="H59" s="10">
        <f t="shared" si="6"/>
        <v>872153.36068719649</v>
      </c>
    </row>
    <row r="60" spans="1:8" x14ac:dyDescent="0.25">
      <c r="A60">
        <v>58</v>
      </c>
      <c r="B60" s="10">
        <f t="shared" si="7"/>
        <v>902010.87776499905</v>
      </c>
      <c r="C60" s="10">
        <f t="shared" si="8"/>
        <v>952625.44239653787</v>
      </c>
      <c r="D60" s="10">
        <f t="shared" si="9"/>
        <v>827107.65147293219</v>
      </c>
      <c r="E60" s="10">
        <f t="shared" si="10"/>
        <v>898873.04503225698</v>
      </c>
      <c r="F60" s="10">
        <f t="shared" si="11"/>
        <v>886664.94073736854</v>
      </c>
      <c r="G60" s="10">
        <f t="shared" si="5"/>
        <v>927318.1600807684</v>
      </c>
      <c r="H60" s="10">
        <f t="shared" si="6"/>
        <v>862990.34825259459</v>
      </c>
    </row>
    <row r="61" spans="1:8" x14ac:dyDescent="0.25">
      <c r="A61">
        <v>59</v>
      </c>
      <c r="B61" s="10">
        <f t="shared" si="7"/>
        <v>895060.31723329145</v>
      </c>
      <c r="C61" s="10">
        <f t="shared" si="8"/>
        <v>949043.899740675</v>
      </c>
      <c r="D61" s="10">
        <f t="shared" si="9"/>
        <v>814578.53374344937</v>
      </c>
      <c r="E61" s="10">
        <f t="shared" si="10"/>
        <v>891475.66915502294</v>
      </c>
      <c r="F61" s="10">
        <f t="shared" si="11"/>
        <v>877692.22359076445</v>
      </c>
      <c r="G61" s="10">
        <f t="shared" si="5"/>
        <v>922052.10848698323</v>
      </c>
      <c r="H61" s="10">
        <f t="shared" si="6"/>
        <v>853027.10144923616</v>
      </c>
    </row>
    <row r="62" spans="1:8" x14ac:dyDescent="0.25">
      <c r="A62">
        <v>60</v>
      </c>
      <c r="B62" s="10">
        <f t="shared" si="7"/>
        <v>887519.24376669922</v>
      </c>
      <c r="C62" s="10">
        <f t="shared" si="8"/>
        <v>945096.43423515395</v>
      </c>
      <c r="D62" s="10">
        <f t="shared" si="9"/>
        <v>801043.45653830585</v>
      </c>
      <c r="E62" s="10">
        <f t="shared" si="10"/>
        <v>883353.33572849701</v>
      </c>
      <c r="F62" s="10">
        <f t="shared" si="11"/>
        <v>867811.56736856012</v>
      </c>
      <c r="G62" s="10">
        <f t="shared" si="5"/>
        <v>916307.83900092659</v>
      </c>
      <c r="H62" s="10">
        <f t="shared" si="6"/>
        <v>842198.39613340143</v>
      </c>
    </row>
    <row r="63" spans="1:8" x14ac:dyDescent="0.25">
      <c r="A63">
        <v>61</v>
      </c>
      <c r="B63" s="10">
        <f t="shared" si="7"/>
        <v>879339.04355666297</v>
      </c>
      <c r="C63" s="10">
        <f t="shared" si="8"/>
        <v>940743.63150291482</v>
      </c>
      <c r="D63" s="10">
        <f t="shared" si="9"/>
        <v>786437.3760257886</v>
      </c>
      <c r="E63" s="10">
        <f t="shared" si="10"/>
        <v>874435.08035719767</v>
      </c>
      <c r="F63" s="10">
        <f t="shared" si="11"/>
        <v>856935.52353138512</v>
      </c>
      <c r="G63" s="10">
        <f t="shared" si="5"/>
        <v>910041.33752978896</v>
      </c>
      <c r="H63" s="10">
        <f t="shared" si="6"/>
        <v>830436.22819149308</v>
      </c>
    </row>
    <row r="64" spans="1:8" x14ac:dyDescent="0.25">
      <c r="A64">
        <v>62</v>
      </c>
      <c r="B64" s="10">
        <f t="shared" si="7"/>
        <v>870468.32839675306</v>
      </c>
      <c r="C64" s="10">
        <f t="shared" si="8"/>
        <v>935942.25372020644</v>
      </c>
      <c r="D64" s="10">
        <f t="shared" si="9"/>
        <v>770695.71700482909</v>
      </c>
      <c r="E64" s="10">
        <f t="shared" si="10"/>
        <v>864644.91302700562</v>
      </c>
      <c r="F64" s="10">
        <f t="shared" si="11"/>
        <v>844971.39767535415</v>
      </c>
      <c r="G64" s="10">
        <f t="shared" si="5"/>
        <v>903205.29105847981</v>
      </c>
      <c r="H64" s="10">
        <f t="shared" si="6"/>
        <v>817670.31501591741</v>
      </c>
    </row>
    <row r="65" spans="1:8" x14ac:dyDescent="0.25">
      <c r="A65">
        <v>63</v>
      </c>
      <c r="B65" s="10">
        <f t="shared" si="7"/>
        <v>860853.05115483643</v>
      </c>
      <c r="C65" s="10">
        <f t="shared" si="8"/>
        <v>930644.97393659595</v>
      </c>
      <c r="D65" s="10">
        <f t="shared" si="9"/>
        <v>753755.60149102064</v>
      </c>
      <c r="E65" s="10">
        <f t="shared" si="10"/>
        <v>853901.96168760723</v>
      </c>
      <c r="F65" s="10">
        <f t="shared" si="11"/>
        <v>831821.80463381042</v>
      </c>
      <c r="G65" s="10">
        <f t="shared" si="5"/>
        <v>895749.01254571625</v>
      </c>
      <c r="H65" s="10">
        <f t="shared" si="6"/>
        <v>803828.78158931388</v>
      </c>
    </row>
    <row r="66" spans="1:8" x14ac:dyDescent="0.25">
      <c r="A66">
        <v>64</v>
      </c>
      <c r="B66" s="10">
        <f t="shared" ref="B66:B97" si="12">K$3*K$4^$A66*K$5^(K$6^$A66)</f>
        <v>850436.69995889324</v>
      </c>
      <c r="C66" s="10">
        <f t="shared" ref="C66:C97" si="13">L$3*L$4^$A66*L$5^(L$6^$A66)</f>
        <v>924800.12016376061</v>
      </c>
      <c r="D66" s="10">
        <f t="shared" ref="D66:D97" si="14">M$3*M$4^$A66*M$5^(M$6^$A66)</f>
        <v>735557.34855642065</v>
      </c>
      <c r="E66" s="10">
        <f t="shared" ref="E66:E97" si="15">N$3*N$4^$A66*N$5^(N$6^$A66)</f>
        <v>842120.7817840334</v>
      </c>
      <c r="F66" s="10">
        <f t="shared" ref="F66:F97" si="16">O$3*O$4^$A66*O$5^(O$6^$A66)</f>
        <v>817385.52626616263</v>
      </c>
      <c r="G66" s="10">
        <f t="shared" si="5"/>
        <v>887618.41006132693</v>
      </c>
      <c r="H66" s="10">
        <f t="shared" si="6"/>
        <v>788839.06517022708</v>
      </c>
    </row>
    <row r="67" spans="1:8" x14ac:dyDescent="0.25">
      <c r="A67">
        <v>65</v>
      </c>
      <c r="B67" s="10">
        <f t="shared" si="12"/>
        <v>839160.5882720853</v>
      </c>
      <c r="C67" s="10">
        <f t="shared" si="13"/>
        <v>918351.43906440958</v>
      </c>
      <c r="D67" s="10">
        <f t="shared" si="14"/>
        <v>716046.2739612282</v>
      </c>
      <c r="E67" s="10">
        <f t="shared" si="15"/>
        <v>829211.87617106794</v>
      </c>
      <c r="F67" s="10">
        <f t="shared" si="16"/>
        <v>801558.74321463762</v>
      </c>
      <c r="G67" s="10">
        <f t="shared" ref="G67:G122" si="17">(B67+C67)/2</f>
        <v>878756.0136682475</v>
      </c>
      <c r="H67" s="10">
        <f t="shared" ref="H67:H122" si="18">(D67+E67)/2</f>
        <v>772629.07506614807</v>
      </c>
    </row>
    <row r="68" spans="1:8" x14ac:dyDescent="0.25">
      <c r="A68">
        <v>66</v>
      </c>
      <c r="B68" s="10">
        <f t="shared" si="12"/>
        <v>826964.26029754756</v>
      </c>
      <c r="C68" s="10">
        <f t="shared" si="13"/>
        <v>911237.89186437509</v>
      </c>
      <c r="D68" s="10">
        <f t="shared" si="14"/>
        <v>695174.81374499772</v>
      </c>
      <c r="E68" s="10">
        <f t="shared" si="15"/>
        <v>815082.47707465582</v>
      </c>
      <c r="F68" s="10">
        <f t="shared" si="16"/>
        <v>784236.72054599773</v>
      </c>
      <c r="G68" s="10">
        <f t="shared" si="17"/>
        <v>869101.07608096139</v>
      </c>
      <c r="H68" s="10">
        <f t="shared" si="18"/>
        <v>755128.64540982677</v>
      </c>
    </row>
    <row r="69" spans="1:8" x14ac:dyDescent="0.25">
      <c r="A69">
        <v>67</v>
      </c>
      <c r="B69" s="10">
        <f t="shared" si="12"/>
        <v>813786.03338247456</v>
      </c>
      <c r="C69" s="10">
        <f t="shared" si="13"/>
        <v>903393.49845530442</v>
      </c>
      <c r="D69" s="10">
        <f t="shared" si="14"/>
        <v>672904.98823659495</v>
      </c>
      <c r="E69" s="10">
        <f t="shared" si="15"/>
        <v>799637.64901024045</v>
      </c>
      <c r="F69" s="10">
        <f t="shared" si="16"/>
        <v>765316.03415514028</v>
      </c>
      <c r="G69" s="10">
        <f t="shared" si="17"/>
        <v>858589.76591888955</v>
      </c>
      <c r="H69" s="10">
        <f t="shared" si="18"/>
        <v>736271.31862341776</v>
      </c>
    </row>
    <row r="70" spans="1:8" x14ac:dyDescent="0.25">
      <c r="A70">
        <v>68</v>
      </c>
      <c r="B70" s="10">
        <f t="shared" si="12"/>
        <v>799563.70113951736</v>
      </c>
      <c r="C70" s="10">
        <f t="shared" si="13"/>
        <v>894747.2496117329</v>
      </c>
      <c r="D70" s="10">
        <f t="shared" si="14"/>
        <v>649211.21093677124</v>
      </c>
      <c r="E70" s="10">
        <f t="shared" si="15"/>
        <v>782781.77826023847</v>
      </c>
      <c r="F70" s="10">
        <f t="shared" si="16"/>
        <v>744697.42853947368</v>
      </c>
      <c r="G70" s="10">
        <f t="shared" si="17"/>
        <v>847155.47537562507</v>
      </c>
      <c r="H70" s="10">
        <f t="shared" si="18"/>
        <v>715996.49459850485</v>
      </c>
    </row>
    <row r="71" spans="1:8" x14ac:dyDescent="0.25">
      <c r="A71">
        <v>69</v>
      </c>
      <c r="B71" s="10">
        <f t="shared" si="12"/>
        <v>784235.4226695312</v>
      </c>
      <c r="C71" s="10">
        <f t="shared" si="13"/>
        <v>885223.11186003056</v>
      </c>
      <c r="D71" s="10">
        <f t="shared" si="14"/>
        <v>624083.42938112142</v>
      </c>
      <c r="E71" s="10">
        <f t="shared" si="15"/>
        <v>764420.51980907819</v>
      </c>
      <c r="F71" s="10">
        <f t="shared" si="16"/>
        <v>722289.39492479397</v>
      </c>
      <c r="G71" s="10">
        <f t="shared" si="17"/>
        <v>834729.26726478082</v>
      </c>
      <c r="H71" s="10">
        <f t="shared" si="18"/>
        <v>694251.9745950998</v>
      </c>
    </row>
    <row r="72" spans="1:8" x14ac:dyDescent="0.25">
      <c r="A72">
        <v>70</v>
      </c>
      <c r="B72" s="10">
        <f t="shared" si="12"/>
        <v>767740.82428149448</v>
      </c>
      <c r="C72" s="10">
        <f t="shared" si="13"/>
        <v>874740.15482733527</v>
      </c>
      <c r="D72" s="10">
        <f t="shared" si="14"/>
        <v>597530.56135020498</v>
      </c>
      <c r="E72" s="10">
        <f t="shared" si="15"/>
        <v>744463.27534333582</v>
      </c>
      <c r="F72" s="10">
        <f t="shared" si="16"/>
        <v>698012.54892288987</v>
      </c>
      <c r="G72" s="10">
        <f t="shared" si="17"/>
        <v>821240.48955441487</v>
      </c>
      <c r="H72" s="10">
        <f t="shared" si="18"/>
        <v>670996.91834677034</v>
      </c>
    </row>
    <row r="73" spans="1:8" x14ac:dyDescent="0.25">
      <c r="A73">
        <v>71</v>
      </c>
      <c r="B73" s="10">
        <f t="shared" si="12"/>
        <v>750022.34010788414</v>
      </c>
      <c r="C73" s="10">
        <f t="shared" si="13"/>
        <v>863212.83684277476</v>
      </c>
      <c r="D73" s="10">
        <f t="shared" si="14"/>
        <v>569584.15871879272</v>
      </c>
      <c r="E73" s="10">
        <f t="shared" si="15"/>
        <v>722826.27442988998</v>
      </c>
      <c r="F73" s="10">
        <f t="shared" si="16"/>
        <v>671804.86537709367</v>
      </c>
      <c r="G73" s="10">
        <f t="shared" si="17"/>
        <v>806617.58847532945</v>
      </c>
      <c r="H73" s="10">
        <f t="shared" si="18"/>
        <v>646205.21657434129</v>
      </c>
    </row>
    <row r="74" spans="1:8" x14ac:dyDescent="0.25">
      <c r="A74">
        <v>72</v>
      </c>
      <c r="B74" s="10">
        <f t="shared" si="12"/>
        <v>731026.81655597489</v>
      </c>
      <c r="C74" s="10">
        <f t="shared" si="13"/>
        <v>850551.49107154435</v>
      </c>
      <c r="D74" s="10">
        <f t="shared" si="14"/>
        <v>540302.19219471246</v>
      </c>
      <c r="E74" s="10">
        <f t="shared" si="15"/>
        <v>699436.32317585533</v>
      </c>
      <c r="F74" s="10">
        <f t="shared" si="16"/>
        <v>643627.79054015887</v>
      </c>
      <c r="G74" s="10">
        <f t="shared" si="17"/>
        <v>790789.15381375956</v>
      </c>
      <c r="H74" s="10">
        <f t="shared" si="18"/>
        <v>619869.2576852839</v>
      </c>
    </row>
    <row r="75" spans="1:8" x14ac:dyDescent="0.25">
      <c r="A75">
        <v>73</v>
      </c>
      <c r="B75" s="10">
        <f t="shared" si="12"/>
        <v>710707.40206162422</v>
      </c>
      <c r="C75" s="10">
        <f t="shared" si="13"/>
        <v>836663.06134806538</v>
      </c>
      <c r="D75" s="10">
        <f t="shared" si="14"/>
        <v>509772.80313335109</v>
      </c>
      <c r="E75" s="10">
        <f t="shared" si="15"/>
        <v>674235.26790508756</v>
      </c>
      <c r="F75" s="10">
        <f t="shared" si="16"/>
        <v>613473.19343017496</v>
      </c>
      <c r="G75" s="10">
        <f t="shared" si="17"/>
        <v>773685.23170484486</v>
      </c>
      <c r="H75" s="10">
        <f t="shared" si="18"/>
        <v>592004.03551921935</v>
      </c>
    </row>
    <row r="76" spans="1:8" x14ac:dyDescent="0.25">
      <c r="A76">
        <v>74</v>
      </c>
      <c r="B76" s="10">
        <f t="shared" si="12"/>
        <v>689025.7374587215</v>
      </c>
      <c r="C76" s="10">
        <f t="shared" si="13"/>
        <v>821452.14381381357</v>
      </c>
      <c r="D76" s="10">
        <f t="shared" si="14"/>
        <v>478117.81440509076</v>
      </c>
      <c r="E76" s="10">
        <f t="shared" si="15"/>
        <v>647185.19249582861</v>
      </c>
      <c r="F76" s="10">
        <f t="shared" si="16"/>
        <v>581371.03421339963</v>
      </c>
      <c r="G76" s="10">
        <f t="shared" si="17"/>
        <v>755238.94063626754</v>
      </c>
      <c r="H76" s="10">
        <f t="shared" si="18"/>
        <v>562651.50345045968</v>
      </c>
    </row>
    <row r="77" spans="1:8" x14ac:dyDescent="0.25">
      <c r="A77">
        <v>75</v>
      </c>
      <c r="B77" s="10">
        <f t="shared" si="12"/>
        <v>665954.45268267416</v>
      </c>
      <c r="C77" s="10">
        <f t="shared" si="13"/>
        <v>804822.39694771462</v>
      </c>
      <c r="D77" s="10">
        <f t="shared" si="14"/>
        <v>445495.73319533159</v>
      </c>
      <c r="E77" s="10">
        <f t="shared" si="15"/>
        <v>618274.32345640135</v>
      </c>
      <c r="F77" s="10">
        <f t="shared" si="16"/>
        <v>547397.51352628844</v>
      </c>
      <c r="G77" s="10">
        <f t="shared" si="17"/>
        <v>735388.42481519445</v>
      </c>
      <c r="H77" s="10">
        <f t="shared" si="18"/>
        <v>531885.02832586644</v>
      </c>
    </row>
    <row r="78" spans="1:8" x14ac:dyDescent="0.25">
      <c r="A78">
        <v>76</v>
      </c>
      <c r="B78" s="10">
        <f t="shared" si="12"/>
        <v>641479.96165618126</v>
      </c>
      <c r="C78" s="10">
        <f t="shared" si="13"/>
        <v>786678.38784500002</v>
      </c>
      <c r="D78" s="10">
        <f t="shared" si="14"/>
        <v>412103.91876261606</v>
      </c>
      <c r="E78" s="10">
        <f t="shared" si="15"/>
        <v>587523.55290461762</v>
      </c>
      <c r="F78" s="10">
        <f t="shared" si="16"/>
        <v>511683.32046880975</v>
      </c>
      <c r="G78" s="10">
        <f t="shared" si="17"/>
        <v>714079.1747505907</v>
      </c>
      <c r="H78" s="10">
        <f t="shared" si="18"/>
        <v>499813.73583361681</v>
      </c>
    </row>
    <row r="79" spans="1:8" x14ac:dyDescent="0.25">
      <c r="A79">
        <v>77</v>
      </c>
      <c r="B79" s="10">
        <f t="shared" si="12"/>
        <v>615605.52820751513</v>
      </c>
      <c r="C79" s="10">
        <f t="shared" si="13"/>
        <v>766927.94558252476</v>
      </c>
      <c r="D79" s="10">
        <f t="shared" si="14"/>
        <v>378179.53407563764</v>
      </c>
      <c r="E79" s="10">
        <f t="shared" si="15"/>
        <v>554993.40310952929</v>
      </c>
      <c r="F79" s="10">
        <f t="shared" si="16"/>
        <v>474421.42007753142</v>
      </c>
      <c r="G79" s="10">
        <f t="shared" si="17"/>
        <v>691266.73689501989</v>
      </c>
      <c r="H79" s="10">
        <f t="shared" si="18"/>
        <v>466586.46859258343</v>
      </c>
    </row>
    <row r="80" spans="1:8" x14ac:dyDescent="0.25">
      <c r="A80">
        <v>78</v>
      </c>
      <c r="B80" s="10">
        <f t="shared" si="12"/>
        <v>588354.55096324452</v>
      </c>
      <c r="C80" s="10">
        <f t="shared" si="13"/>
        <v>745485.09174828371</v>
      </c>
      <c r="D80" s="10">
        <f t="shared" si="14"/>
        <v>343998.86115775257</v>
      </c>
      <c r="E80" s="10">
        <f t="shared" si="15"/>
        <v>520791.14516006963</v>
      </c>
      <c r="F80" s="10">
        <f t="shared" si="16"/>
        <v>435873.62122849416</v>
      </c>
      <c r="G80" s="10">
        <f t="shared" si="17"/>
        <v>666919.82135576406</v>
      </c>
      <c r="H80" s="10">
        <f t="shared" si="18"/>
        <v>432395.00315891113</v>
      </c>
    </row>
    <row r="81" spans="1:8" x14ac:dyDescent="0.25">
      <c r="A81">
        <v>79</v>
      </c>
      <c r="B81" s="10">
        <f t="shared" si="12"/>
        <v>559773.98376330757</v>
      </c>
      <c r="C81" s="10">
        <f t="shared" si="13"/>
        <v>722273.61180445855</v>
      </c>
      <c r="D81" s="10">
        <f t="shared" si="14"/>
        <v>309874.54800774337</v>
      </c>
      <c r="E81" s="10">
        <f t="shared" si="15"/>
        <v>485077.64916076272</v>
      </c>
      <c r="F81" s="10">
        <f t="shared" si="16"/>
        <v>396374.96026784921</v>
      </c>
      <c r="G81" s="10">
        <f t="shared" si="17"/>
        <v>641023.79778388306</v>
      </c>
      <c r="H81" s="10">
        <f t="shared" si="18"/>
        <v>397476.09858425305</v>
      </c>
    </row>
    <row r="82" spans="1:8" x14ac:dyDescent="0.25">
      <c r="A82">
        <v>80</v>
      </c>
      <c r="B82" s="10">
        <f t="shared" si="12"/>
        <v>529937.77009183937</v>
      </c>
      <c r="C82" s="10">
        <f t="shared" si="13"/>
        <v>697231.3165002719</v>
      </c>
      <c r="D82" s="10">
        <f t="shared" si="14"/>
        <v>276150.38469162729</v>
      </c>
      <c r="E82" s="10">
        <f t="shared" si="15"/>
        <v>448073.3888291592</v>
      </c>
      <c r="F82" s="10">
        <f t="shared" si="16"/>
        <v>356334.75383292092</v>
      </c>
      <c r="G82" s="10">
        <f t="shared" si="17"/>
        <v>613584.54329605564</v>
      </c>
      <c r="H82" s="10">
        <f t="shared" si="18"/>
        <v>362111.88676039327</v>
      </c>
    </row>
    <row r="83" spans="1:8" x14ac:dyDescent="0.25">
      <c r="A83">
        <v>81</v>
      </c>
      <c r="B83" s="10">
        <f t="shared" si="12"/>
        <v>498950.12578716606</v>
      </c>
      <c r="C83" s="10">
        <f t="shared" si="13"/>
        <v>670315.01717307186</v>
      </c>
      <c r="D83" s="10">
        <f t="shared" si="14"/>
        <v>243193.29336591795</v>
      </c>
      <c r="E83" s="10">
        <f t="shared" si="15"/>
        <v>410062.8604522986</v>
      </c>
      <c r="F83" s="10">
        <f t="shared" si="16"/>
        <v>316233.06078236405</v>
      </c>
      <c r="G83" s="10">
        <f t="shared" si="17"/>
        <v>584632.5714801189</v>
      </c>
      <c r="H83" s="10">
        <f t="shared" si="18"/>
        <v>326628.07690910826</v>
      </c>
    </row>
    <row r="84" spans="1:8" x14ac:dyDescent="0.25">
      <c r="A84">
        <v>82</v>
      </c>
      <c r="B84" s="10">
        <f t="shared" si="12"/>
        <v>466948.45535722299</v>
      </c>
      <c r="C84" s="10">
        <f t="shared" si="13"/>
        <v>641506.19920318841</v>
      </c>
      <c r="D84" s="10">
        <f t="shared" si="14"/>
        <v>211382.37621071117</v>
      </c>
      <c r="E84" s="10">
        <f t="shared" si="15"/>
        <v>371396.52430858387</v>
      </c>
      <c r="F84" s="10">
        <f t="shared" si="16"/>
        <v>276611.30745119153</v>
      </c>
      <c r="G84" s="10">
        <f t="shared" si="17"/>
        <v>554227.32728020567</v>
      </c>
      <c r="H84" s="10">
        <f t="shared" si="18"/>
        <v>291389.45025964751</v>
      </c>
    </row>
    <row r="85" spans="1:8" x14ac:dyDescent="0.25">
      <c r="A85">
        <v>83</v>
      </c>
      <c r="B85" s="10">
        <f t="shared" si="12"/>
        <v>434105.63640811248</v>
      </c>
      <c r="C85" s="10">
        <f t="shared" si="13"/>
        <v>610817.32069158542</v>
      </c>
      <c r="D85" s="10">
        <f t="shared" si="14"/>
        <v>181095.10633649185</v>
      </c>
      <c r="E85" s="10">
        <f t="shared" si="15"/>
        <v>332489.2657278179</v>
      </c>
      <c r="F85" s="10">
        <f t="shared" si="16"/>
        <v>238056.04316402061</v>
      </c>
      <c r="G85" s="10">
        <f t="shared" si="17"/>
        <v>522461.47854984895</v>
      </c>
      <c r="H85" s="10">
        <f t="shared" si="18"/>
        <v>256792.18603215489</v>
      </c>
    </row>
    <row r="86" spans="1:8" x14ac:dyDescent="0.25">
      <c r="A86">
        <v>84</v>
      </c>
      <c r="B86" s="10">
        <f t="shared" si="12"/>
        <v>400631.35856510757</v>
      </c>
      <c r="C86" s="10">
        <f t="shared" si="13"/>
        <v>578298.5854577499</v>
      </c>
      <c r="D86" s="10">
        <f t="shared" si="14"/>
        <v>152691.06975534678</v>
      </c>
      <c r="E86" s="10">
        <f t="shared" si="15"/>
        <v>293814.34391982085</v>
      </c>
      <c r="F86" s="10">
        <f t="shared" si="16"/>
        <v>201175.27490438218</v>
      </c>
      <c r="G86" s="10">
        <f t="shared" si="17"/>
        <v>489464.97201142873</v>
      </c>
      <c r="H86" s="10">
        <f t="shared" si="18"/>
        <v>223252.7068375838</v>
      </c>
    </row>
    <row r="87" spans="1:8" x14ac:dyDescent="0.25">
      <c r="A87">
        <v>85</v>
      </c>
      <c r="B87" s="10">
        <f t="shared" si="12"/>
        <v>366772.16447863885</v>
      </c>
      <c r="C87" s="10">
        <f t="shared" si="13"/>
        <v>544044.93854811299</v>
      </c>
      <c r="D87" s="10">
        <f t="shared" si="14"/>
        <v>126494.05604487468</v>
      </c>
      <c r="E87" s="10">
        <f t="shared" si="15"/>
        <v>255891.89994673472</v>
      </c>
      <c r="F87" s="10">
        <f t="shared" si="16"/>
        <v>166567.63261202798</v>
      </c>
      <c r="G87" s="10">
        <f t="shared" si="17"/>
        <v>455408.55151337595</v>
      </c>
      <c r="H87" s="10">
        <f t="shared" si="18"/>
        <v>191192.97799580469</v>
      </c>
    </row>
    <row r="88" spans="1:8" x14ac:dyDescent="0.25">
      <c r="A88">
        <v>86</v>
      </c>
      <c r="B88" s="10">
        <f t="shared" si="12"/>
        <v>332809.81996454287</v>
      </c>
      <c r="C88" s="10">
        <f t="shared" si="13"/>
        <v>508202.90849657822</v>
      </c>
      <c r="D88" s="10">
        <f t="shared" si="14"/>
        <v>102773.71498996095</v>
      </c>
      <c r="E88" s="10">
        <f t="shared" si="15"/>
        <v>219271.38483401405</v>
      </c>
      <c r="F88" s="10">
        <f t="shared" si="16"/>
        <v>134785.74249730509</v>
      </c>
      <c r="G88" s="10">
        <f t="shared" si="17"/>
        <v>420506.36423056055</v>
      </c>
      <c r="H88" s="10">
        <f t="shared" si="18"/>
        <v>161022.5499119875</v>
      </c>
    </row>
    <row r="89" spans="1:8" x14ac:dyDescent="0.25">
      <c r="A89">
        <v>87</v>
      </c>
      <c r="B89" s="10">
        <f t="shared" si="12"/>
        <v>299057.64903020707</v>
      </c>
      <c r="C89" s="10">
        <f t="shared" si="13"/>
        <v>470976.7769931248</v>
      </c>
      <c r="D89" s="10">
        <f t="shared" si="14"/>
        <v>81728.38568144411</v>
      </c>
      <c r="E89" s="10">
        <f t="shared" si="15"/>
        <v>184507.79122524936</v>
      </c>
      <c r="F89" s="10">
        <f t="shared" si="16"/>
        <v>106296.55373771646</v>
      </c>
      <c r="G89" s="10">
        <f t="shared" si="17"/>
        <v>385017.21301166597</v>
      </c>
      <c r="H89" s="10">
        <f t="shared" si="18"/>
        <v>133118.08845334675</v>
      </c>
    </row>
    <row r="90" spans="1:8" x14ac:dyDescent="0.25">
      <c r="A90">
        <v>88</v>
      </c>
      <c r="B90" s="10">
        <f t="shared" si="12"/>
        <v>265854.51991837035</v>
      </c>
      <c r="C90" s="10">
        <f t="shared" si="13"/>
        <v>432633.40213116212</v>
      </c>
      <c r="D90" s="10">
        <f t="shared" si="14"/>
        <v>63470.980141506589</v>
      </c>
      <c r="E90" s="10">
        <f t="shared" si="15"/>
        <v>152132.34800491779</v>
      </c>
      <c r="F90" s="10">
        <f t="shared" si="16"/>
        <v>81442.776412830994</v>
      </c>
      <c r="G90" s="10">
        <f t="shared" si="17"/>
        <v>349243.96102476621</v>
      </c>
      <c r="H90" s="10">
        <f t="shared" si="18"/>
        <v>107801.66407321219</v>
      </c>
    </row>
    <row r="91" spans="1:8" x14ac:dyDescent="0.25">
      <c r="A91">
        <v>89</v>
      </c>
      <c r="B91" s="10">
        <f t="shared" si="12"/>
        <v>233556.27280999135</v>
      </c>
      <c r="C91" s="10">
        <f t="shared" si="13"/>
        <v>393504.87211669167</v>
      </c>
      <c r="D91" s="10">
        <f t="shared" si="14"/>
        <v>48019.869184795854</v>
      </c>
      <c r="E91" s="10">
        <f t="shared" si="15"/>
        <v>122619.33860152487</v>
      </c>
      <c r="F91" s="10">
        <f t="shared" si="16"/>
        <v>60410.719579119264</v>
      </c>
      <c r="G91" s="10">
        <f t="shared" si="17"/>
        <v>313530.57246334152</v>
      </c>
      <c r="H91" s="10">
        <f t="shared" si="18"/>
        <v>85319.603893160354</v>
      </c>
    </row>
    <row r="92" spans="1:8" x14ac:dyDescent="0.25">
      <c r="A92">
        <v>90</v>
      </c>
      <c r="B92" s="10">
        <f t="shared" si="12"/>
        <v>202524.54859717243</v>
      </c>
      <c r="C92" s="10">
        <f t="shared" si="13"/>
        <v>353988.04754914803</v>
      </c>
      <c r="D92" s="10">
        <f t="shared" si="14"/>
        <v>35296.483423545928</v>
      </c>
      <c r="E92" s="10">
        <f t="shared" si="15"/>
        <v>96351.827793737844</v>
      </c>
      <c r="F92" s="10">
        <f t="shared" si="16"/>
        <v>43210.244308309477</v>
      </c>
      <c r="G92" s="10">
        <f t="shared" si="17"/>
        <v>278256.29807316023</v>
      </c>
      <c r="H92" s="10">
        <f t="shared" si="18"/>
        <v>65824.155608641886</v>
      </c>
    </row>
    <row r="93" spans="1:8" x14ac:dyDescent="0.25">
      <c r="A93">
        <v>91</v>
      </c>
      <c r="B93" s="10">
        <f t="shared" si="12"/>
        <v>173113.21563061423</v>
      </c>
      <c r="C93" s="10">
        <f t="shared" si="13"/>
        <v>314539.99767766648</v>
      </c>
      <c r="D93" s="10">
        <f t="shared" si="14"/>
        <v>25130.750774421776</v>
      </c>
      <c r="E93" s="10">
        <f t="shared" si="15"/>
        <v>73590.134770080855</v>
      </c>
      <c r="F93" s="10">
        <f t="shared" si="16"/>
        <v>29671.840437471328</v>
      </c>
      <c r="G93" s="10">
        <f t="shared" si="17"/>
        <v>243826.60665414034</v>
      </c>
      <c r="H93" s="10">
        <f t="shared" si="18"/>
        <v>49360.442772251314</v>
      </c>
    </row>
    <row r="94" spans="1:8" x14ac:dyDescent="0.25">
      <c r="A94">
        <v>92</v>
      </c>
      <c r="B94" s="10">
        <f t="shared" si="12"/>
        <v>145652.89218267013</v>
      </c>
      <c r="C94" s="10">
        <f t="shared" si="13"/>
        <v>275668.39432450832</v>
      </c>
      <c r="D94" s="10">
        <f t="shared" si="14"/>
        <v>17274.554218160709</v>
      </c>
      <c r="E94" s="10">
        <f t="shared" si="15"/>
        <v>54447.59004344335</v>
      </c>
      <c r="F94" s="10">
        <f t="shared" si="16"/>
        <v>19463.730122954774</v>
      </c>
      <c r="G94" s="10">
        <f t="shared" si="17"/>
        <v>210660.64325358922</v>
      </c>
      <c r="H94" s="10">
        <f t="shared" si="18"/>
        <v>35861.072130802029</v>
      </c>
    </row>
    <row r="95" spans="1:8" x14ac:dyDescent="0.25">
      <c r="A95">
        <v>93</v>
      </c>
      <c r="B95" s="10">
        <f t="shared" si="12"/>
        <v>120434.40687408441</v>
      </c>
      <c r="C95" s="10">
        <f t="shared" si="13"/>
        <v>237916.14664844962</v>
      </c>
      <c r="D95" s="10">
        <f t="shared" si="14"/>
        <v>11422.214852347184</v>
      </c>
      <c r="E95" s="10">
        <f t="shared" si="15"/>
        <v>38878.13118892473</v>
      </c>
      <c r="F95" s="10">
        <f t="shared" si="16"/>
        <v>12128.486148570955</v>
      </c>
      <c r="G95" s="10">
        <f t="shared" si="17"/>
        <v>179175.27676126701</v>
      </c>
      <c r="H95" s="10">
        <f t="shared" si="18"/>
        <v>25150.173020635957</v>
      </c>
    </row>
    <row r="96" spans="1:8" x14ac:dyDescent="0.25">
      <c r="A96">
        <v>94</v>
      </c>
      <c r="B96" s="10">
        <f t="shared" si="12"/>
        <v>97692.389905173564</v>
      </c>
      <c r="C96" s="10">
        <f t="shared" si="13"/>
        <v>201839.98724556007</v>
      </c>
      <c r="D96" s="10">
        <f t="shared" si="14"/>
        <v>7235.7919690133631</v>
      </c>
      <c r="E96" s="10">
        <f t="shared" si="15"/>
        <v>26679.338031671403</v>
      </c>
      <c r="F96" s="10">
        <f t="shared" si="16"/>
        <v>7134.5292330388984</v>
      </c>
      <c r="G96" s="10">
        <f t="shared" si="17"/>
        <v>149766.1885753668</v>
      </c>
      <c r="H96" s="10">
        <f t="shared" si="18"/>
        <v>16957.565000342383</v>
      </c>
    </row>
    <row r="97" spans="1:8" x14ac:dyDescent="0.25">
      <c r="A97">
        <v>95</v>
      </c>
      <c r="B97" s="10">
        <f t="shared" si="12"/>
        <v>77590.487984370324</v>
      </c>
      <c r="C97" s="10">
        <f t="shared" si="13"/>
        <v>167983.38374124159</v>
      </c>
      <c r="D97" s="10">
        <f t="shared" si="14"/>
        <v>4372.0250704208001</v>
      </c>
      <c r="E97" s="10">
        <f t="shared" si="15"/>
        <v>17512.462189137783</v>
      </c>
      <c r="F97" s="10">
        <f t="shared" si="16"/>
        <v>3934.1380070178398</v>
      </c>
      <c r="G97" s="10">
        <f t="shared" si="17"/>
        <v>122786.93586280596</v>
      </c>
      <c r="H97" s="10">
        <f t="shared" si="18"/>
        <v>10942.243629779292</v>
      </c>
    </row>
    <row r="98" spans="1:8" x14ac:dyDescent="0.25">
      <c r="A98">
        <v>96</v>
      </c>
      <c r="B98" s="10">
        <f t="shared" ref="B98:B122" si="19">K$3*K$4^$A98*K$5^(K$6^$A98)</f>
        <v>60209.873115543363</v>
      </c>
      <c r="C98" s="10">
        <f t="shared" ref="C98:C122" si="20">L$3*L$4^$A98*L$5^(L$6^$A98)</f>
        <v>136845.0401597372</v>
      </c>
      <c r="D98" s="10">
        <f t="shared" ref="D98:D122" si="21">M$3*M$4^$A98*M$5^(M$6^$A98)</f>
        <v>2507.3104540750064</v>
      </c>
      <c r="E98" s="10">
        <f t="shared" ref="E98:E122" si="22">N$3*N$4^$A98*N$5^(N$6^$A98)</f>
        <v>10938.056051570413</v>
      </c>
      <c r="F98" s="10">
        <f t="shared" ref="F98:F122" si="23">O$3*O$4^$A98*O$5^(O$6^$A98)</f>
        <v>2017.5965165475081</v>
      </c>
      <c r="G98" s="10">
        <f t="shared" si="17"/>
        <v>98527.45663764028</v>
      </c>
      <c r="H98" s="10">
        <f t="shared" si="18"/>
        <v>6722.6832528227096</v>
      </c>
    </row>
    <row r="99" spans="1:8" x14ac:dyDescent="0.25">
      <c r="A99">
        <v>97</v>
      </c>
      <c r="B99" s="10">
        <f t="shared" si="19"/>
        <v>45542.691962012505</v>
      </c>
      <c r="C99" s="10">
        <f t="shared" si="20"/>
        <v>108845.29778333199</v>
      </c>
      <c r="D99" s="10">
        <f t="shared" si="21"/>
        <v>1357.404416547176</v>
      </c>
      <c r="E99" s="10">
        <f t="shared" si="22"/>
        <v>6462.5266039239114</v>
      </c>
      <c r="F99" s="10">
        <f t="shared" si="23"/>
        <v>953.84226942802138</v>
      </c>
      <c r="G99" s="10">
        <f t="shared" si="17"/>
        <v>77193.99487267225</v>
      </c>
      <c r="H99" s="10">
        <f t="shared" si="18"/>
        <v>3909.9655102355437</v>
      </c>
    </row>
    <row r="100" spans="1:8" x14ac:dyDescent="0.25">
      <c r="A100">
        <v>98</v>
      </c>
      <c r="B100" s="10">
        <f t="shared" si="19"/>
        <v>33491.812106114136</v>
      </c>
      <c r="C100" s="10">
        <f t="shared" si="20"/>
        <v>84293.794219215633</v>
      </c>
      <c r="D100" s="10">
        <f t="shared" si="21"/>
        <v>689.58626981213513</v>
      </c>
      <c r="E100" s="10">
        <f t="shared" si="22"/>
        <v>3588.2328128701579</v>
      </c>
      <c r="F100" s="10">
        <f t="shared" si="23"/>
        <v>411.58974174751722</v>
      </c>
      <c r="G100" s="10">
        <f t="shared" si="17"/>
        <v>58892.803162664888</v>
      </c>
      <c r="H100" s="10">
        <f t="shared" si="18"/>
        <v>2138.9095413411465</v>
      </c>
    </row>
    <row r="101" spans="1:8" x14ac:dyDescent="0.25">
      <c r="A101">
        <v>99</v>
      </c>
      <c r="B101" s="10">
        <f t="shared" si="19"/>
        <v>23877.633094857112</v>
      </c>
      <c r="C101" s="10">
        <f t="shared" si="20"/>
        <v>63362.555219191338</v>
      </c>
      <c r="D101" s="10">
        <f t="shared" si="21"/>
        <v>326.57208912455087</v>
      </c>
      <c r="E101" s="10">
        <f t="shared" si="22"/>
        <v>1858.593432196182</v>
      </c>
      <c r="F101" s="10">
        <f t="shared" si="23"/>
        <v>160.30993291625694</v>
      </c>
      <c r="G101" s="10">
        <f t="shared" si="17"/>
        <v>43620.094157024228</v>
      </c>
      <c r="H101" s="10">
        <f t="shared" si="18"/>
        <v>1092.5827606603664</v>
      </c>
    </row>
    <row r="102" spans="1:8" x14ac:dyDescent="0.25">
      <c r="A102">
        <v>100</v>
      </c>
      <c r="B102" s="10">
        <f t="shared" si="19"/>
        <v>16451.872658517947</v>
      </c>
      <c r="C102" s="10">
        <f t="shared" si="20"/>
        <v>46068.978636875996</v>
      </c>
      <c r="D102" s="10">
        <f t="shared" si="21"/>
        <v>143.12514674172706</v>
      </c>
      <c r="E102" s="10">
        <f t="shared" si="22"/>
        <v>890.72962243760162</v>
      </c>
      <c r="F102" s="10">
        <f t="shared" si="23"/>
        <v>55.659102672321488</v>
      </c>
      <c r="G102" s="10">
        <f t="shared" si="17"/>
        <v>31260.425647696971</v>
      </c>
      <c r="H102" s="10">
        <f t="shared" si="18"/>
        <v>516.92738458966437</v>
      </c>
    </row>
    <row r="103" spans="1:8" x14ac:dyDescent="0.25">
      <c r="A103">
        <v>101</v>
      </c>
      <c r="B103" s="10">
        <f t="shared" si="19"/>
        <v>10917.218582995461</v>
      </c>
      <c r="C103" s="10">
        <f t="shared" si="20"/>
        <v>32272.629319756114</v>
      </c>
      <c r="D103" s="10">
        <f t="shared" si="21"/>
        <v>57.58456219159325</v>
      </c>
      <c r="E103" s="10">
        <f t="shared" si="22"/>
        <v>391.35911149617687</v>
      </c>
      <c r="F103" s="10">
        <f t="shared" si="23"/>
        <v>16.98640956567106</v>
      </c>
      <c r="G103" s="10">
        <f t="shared" si="17"/>
        <v>21594.923951375786</v>
      </c>
      <c r="H103" s="10">
        <f t="shared" si="18"/>
        <v>224.47183684388506</v>
      </c>
    </row>
    <row r="104" spans="1:8" x14ac:dyDescent="0.25">
      <c r="A104">
        <v>102</v>
      </c>
      <c r="B104" s="10">
        <f t="shared" si="19"/>
        <v>6950.7383543972774</v>
      </c>
      <c r="C104" s="10">
        <f t="shared" si="20"/>
        <v>21688.212821701556</v>
      </c>
      <c r="D104" s="10">
        <f t="shared" si="21"/>
        <v>21.081119708443211</v>
      </c>
      <c r="E104" s="10">
        <f t="shared" si="22"/>
        <v>156.03127947623079</v>
      </c>
      <c r="F104" s="10">
        <f t="shared" si="23"/>
        <v>4.485628877872756</v>
      </c>
      <c r="G104" s="10">
        <f t="shared" si="17"/>
        <v>14319.475588049416</v>
      </c>
      <c r="H104" s="10">
        <f t="shared" si="18"/>
        <v>88.556199592337009</v>
      </c>
    </row>
    <row r="105" spans="1:8" x14ac:dyDescent="0.25">
      <c r="A105">
        <v>103</v>
      </c>
      <c r="B105" s="10">
        <f t="shared" si="19"/>
        <v>4228.1949130550356</v>
      </c>
      <c r="C105" s="10">
        <f t="shared" si="20"/>
        <v>13914.587107710764</v>
      </c>
      <c r="D105" s="10">
        <f t="shared" si="21"/>
        <v>6.9538092947394006</v>
      </c>
      <c r="E105" s="10">
        <f t="shared" si="22"/>
        <v>55.804041968240121</v>
      </c>
      <c r="F105" s="10">
        <f t="shared" si="23"/>
        <v>1.0070117061684287</v>
      </c>
      <c r="G105" s="10">
        <f t="shared" si="17"/>
        <v>9071.3910103829003</v>
      </c>
      <c r="H105" s="10">
        <f t="shared" si="18"/>
        <v>31.378925631489761</v>
      </c>
    </row>
    <row r="106" spans="1:8" x14ac:dyDescent="0.25">
      <c r="A106">
        <v>104</v>
      </c>
      <c r="B106" s="10">
        <f t="shared" si="19"/>
        <v>2446.1515746424407</v>
      </c>
      <c r="C106" s="10">
        <f t="shared" si="20"/>
        <v>8476.5960765440632</v>
      </c>
      <c r="D106" s="10">
        <f t="shared" si="21"/>
        <v>2.0445400744743329</v>
      </c>
      <c r="E106" s="10">
        <f t="shared" si="22"/>
        <v>17.674967625315197</v>
      </c>
      <c r="F106" s="10">
        <f t="shared" si="23"/>
        <v>0.18842253495182046</v>
      </c>
      <c r="G106" s="10">
        <f t="shared" si="17"/>
        <v>5461.3738255932521</v>
      </c>
      <c r="H106" s="10">
        <f t="shared" si="18"/>
        <v>9.8597538498947657</v>
      </c>
    </row>
    <row r="107" spans="1:8" x14ac:dyDescent="0.25">
      <c r="A107">
        <v>105</v>
      </c>
      <c r="B107" s="10">
        <f t="shared" si="19"/>
        <v>1339.099909684227</v>
      </c>
      <c r="C107" s="10">
        <f t="shared" si="20"/>
        <v>4873.6009789330055</v>
      </c>
      <c r="D107" s="10">
        <f t="shared" si="21"/>
        <v>0.52945232992235047</v>
      </c>
      <c r="E107" s="10">
        <f t="shared" si="22"/>
        <v>4.8871106000786533</v>
      </c>
      <c r="F107" s="10">
        <f t="shared" si="23"/>
        <v>2.8738661699163413E-2</v>
      </c>
      <c r="G107" s="10">
        <f t="shared" si="17"/>
        <v>3106.3504443086163</v>
      </c>
      <c r="H107" s="10">
        <f t="shared" si="18"/>
        <v>2.708281465000502</v>
      </c>
    </row>
    <row r="108" spans="1:8" x14ac:dyDescent="0.25">
      <c r="A108">
        <v>106</v>
      </c>
      <c r="B108" s="10">
        <f t="shared" si="19"/>
        <v>689.79193780196533</v>
      </c>
      <c r="C108" s="10">
        <f t="shared" si="20"/>
        <v>2626.7674383603098</v>
      </c>
      <c r="D108" s="10">
        <f t="shared" si="21"/>
        <v>0.11917712097431882</v>
      </c>
      <c r="E108" s="10">
        <f t="shared" si="22"/>
        <v>1.1608343251018534</v>
      </c>
      <c r="F108" s="10">
        <f t="shared" si="23"/>
        <v>3.4850284522739139E-3</v>
      </c>
      <c r="G108" s="10">
        <f t="shared" si="17"/>
        <v>1658.2796880811375</v>
      </c>
      <c r="H108" s="10">
        <f t="shared" si="18"/>
        <v>0.64000572303808612</v>
      </c>
    </row>
    <row r="109" spans="1:8" x14ac:dyDescent="0.25">
      <c r="A109">
        <v>107</v>
      </c>
      <c r="B109" s="10">
        <f t="shared" si="19"/>
        <v>332.2980882617934</v>
      </c>
      <c r="C109" s="10">
        <f t="shared" si="20"/>
        <v>1317.2239817964364</v>
      </c>
      <c r="D109" s="10">
        <f t="shared" si="21"/>
        <v>2.2981375099970086E-2</v>
      </c>
      <c r="E109" s="10">
        <f t="shared" si="22"/>
        <v>0.23265477530745707</v>
      </c>
      <c r="F109" s="10">
        <f t="shared" si="23"/>
        <v>3.2673958221565025E-4</v>
      </c>
      <c r="G109" s="10">
        <f t="shared" si="17"/>
        <v>824.76103502911496</v>
      </c>
      <c r="H109" s="10">
        <f t="shared" si="18"/>
        <v>0.12781807520371358</v>
      </c>
    </row>
    <row r="110" spans="1:8" x14ac:dyDescent="0.25">
      <c r="A110">
        <v>108</v>
      </c>
      <c r="B110" s="10">
        <f t="shared" si="19"/>
        <v>148.69668101153113</v>
      </c>
      <c r="C110" s="10">
        <f t="shared" si="20"/>
        <v>609.40280619150587</v>
      </c>
      <c r="D110" s="10">
        <f t="shared" si="21"/>
        <v>3.7359647509508623E-3</v>
      </c>
      <c r="E110" s="10">
        <f t="shared" si="22"/>
        <v>3.8561516999804465E-2</v>
      </c>
      <c r="F110" s="10">
        <f t="shared" si="23"/>
        <v>2.2951971251068545E-5</v>
      </c>
      <c r="G110" s="10">
        <f t="shared" si="17"/>
        <v>379.04974360151851</v>
      </c>
      <c r="H110" s="10">
        <f t="shared" si="18"/>
        <v>2.1148740875377665E-2</v>
      </c>
    </row>
    <row r="111" spans="1:8" x14ac:dyDescent="0.25">
      <c r="A111">
        <v>109</v>
      </c>
      <c r="B111" s="10">
        <f t="shared" si="19"/>
        <v>61.347979072637216</v>
      </c>
      <c r="C111" s="10">
        <f t="shared" si="20"/>
        <v>257.67313799836427</v>
      </c>
      <c r="D111" s="10">
        <f t="shared" si="21"/>
        <v>5.0300913857119337E-4</v>
      </c>
      <c r="E111" s="10">
        <f t="shared" si="22"/>
        <v>5.1682318260956725E-3</v>
      </c>
      <c r="F111" s="10">
        <f t="shared" si="23"/>
        <v>1.1661785197963665E-6</v>
      </c>
      <c r="G111" s="10">
        <f t="shared" si="17"/>
        <v>159.51055853550073</v>
      </c>
      <c r="H111" s="10">
        <f t="shared" si="18"/>
        <v>2.8356204823334328E-3</v>
      </c>
    </row>
    <row r="112" spans="1:8" x14ac:dyDescent="0.25">
      <c r="A112">
        <v>110</v>
      </c>
      <c r="B112" s="10">
        <f t="shared" si="19"/>
        <v>23.145115163334662</v>
      </c>
      <c r="C112" s="10">
        <f t="shared" si="20"/>
        <v>98.534758267606151</v>
      </c>
      <c r="D112" s="10">
        <f t="shared" si="21"/>
        <v>5.5004607835044264E-5</v>
      </c>
      <c r="E112" s="10">
        <f t="shared" si="22"/>
        <v>5.4621992707077043E-4</v>
      </c>
      <c r="F112" s="10">
        <f t="shared" si="23"/>
        <v>4.1197869641260842E-8</v>
      </c>
      <c r="G112" s="10">
        <f t="shared" si="17"/>
        <v>60.839936715470408</v>
      </c>
      <c r="H112" s="10">
        <f t="shared" si="18"/>
        <v>3.0061226745290733E-4</v>
      </c>
    </row>
    <row r="113" spans="1:8" x14ac:dyDescent="0.25">
      <c r="A113">
        <v>111</v>
      </c>
      <c r="B113" s="10">
        <f t="shared" si="19"/>
        <v>7.9132099678804781</v>
      </c>
      <c r="C113" s="10">
        <f t="shared" si="20"/>
        <v>33.679686614759468</v>
      </c>
      <c r="D113" s="10">
        <f t="shared" si="21"/>
        <v>4.7807299487405537E-6</v>
      </c>
      <c r="E113" s="10">
        <f t="shared" si="22"/>
        <v>4.4262195883616569E-5</v>
      </c>
      <c r="F113" s="10">
        <f t="shared" si="23"/>
        <v>9.6803987190626103E-10</v>
      </c>
      <c r="G113" s="10">
        <f t="shared" si="17"/>
        <v>20.796448291319972</v>
      </c>
      <c r="H113" s="10">
        <f t="shared" si="18"/>
        <v>2.4521462916178563E-5</v>
      </c>
    </row>
    <row r="114" spans="1:8" x14ac:dyDescent="0.25">
      <c r="A114">
        <v>112</v>
      </c>
      <c r="B114" s="10">
        <f t="shared" si="19"/>
        <v>2.4274910364179525</v>
      </c>
      <c r="C114" s="10">
        <f t="shared" si="20"/>
        <v>10.155755576323097</v>
      </c>
      <c r="D114" s="10">
        <f t="shared" si="21"/>
        <v>3.2248514193094832E-7</v>
      </c>
      <c r="E114" s="10">
        <f t="shared" si="22"/>
        <v>2.6650058048943675E-6</v>
      </c>
      <c r="F114" s="10">
        <f t="shared" si="23"/>
        <v>1.4395122548638487E-11</v>
      </c>
      <c r="G114" s="10">
        <f t="shared" si="17"/>
        <v>6.2916233063705249</v>
      </c>
      <c r="H114" s="10">
        <f t="shared" si="18"/>
        <v>1.4937454734126578E-6</v>
      </c>
    </row>
    <row r="115" spans="1:8" x14ac:dyDescent="0.25">
      <c r="A115">
        <v>113</v>
      </c>
      <c r="B115" s="10">
        <f t="shared" si="19"/>
        <v>0.66086781763243096</v>
      </c>
      <c r="C115" s="10">
        <f t="shared" si="20"/>
        <v>2.6623461729450306</v>
      </c>
      <c r="D115" s="10">
        <f t="shared" si="21"/>
        <v>1.6444455836313174E-8</v>
      </c>
      <c r="E115" s="10">
        <f t="shared" si="22"/>
        <v>1.1510926645552465E-7</v>
      </c>
      <c r="F115" s="10">
        <f t="shared" si="23"/>
        <v>1.2811505439335377E-13</v>
      </c>
      <c r="G115" s="10">
        <f t="shared" si="17"/>
        <v>1.6616069952887309</v>
      </c>
      <c r="H115" s="10">
        <f t="shared" si="18"/>
        <v>6.5776861145918914E-8</v>
      </c>
    </row>
    <row r="116" spans="1:8" x14ac:dyDescent="0.25">
      <c r="A116">
        <v>114</v>
      </c>
      <c r="B116" s="10">
        <f t="shared" si="19"/>
        <v>0.15775492600678551</v>
      </c>
      <c r="C116" s="10">
        <f t="shared" si="20"/>
        <v>0.59693199553846688</v>
      </c>
      <c r="D116" s="10">
        <f t="shared" si="21"/>
        <v>6.1576009516410877E-10</v>
      </c>
      <c r="E116" s="10">
        <f t="shared" si="22"/>
        <v>3.4293592927937444E-9</v>
      </c>
      <c r="F116" s="10">
        <f t="shared" si="23"/>
        <v>6.4098709913097448E-16</v>
      </c>
      <c r="G116" s="10">
        <f t="shared" si="17"/>
        <v>0.3773434607726262</v>
      </c>
      <c r="H116" s="10">
        <f t="shared" si="18"/>
        <v>2.0225596939789267E-9</v>
      </c>
    </row>
    <row r="117" spans="1:8" x14ac:dyDescent="0.25">
      <c r="A117">
        <v>115</v>
      </c>
      <c r="B117" s="10">
        <f t="shared" si="19"/>
        <v>3.2583087369076592E-2</v>
      </c>
      <c r="C117" s="10">
        <f t="shared" si="20"/>
        <v>0.11239939483167732</v>
      </c>
      <c r="D117" s="10">
        <f t="shared" si="21"/>
        <v>1.6397009223191513E-11</v>
      </c>
      <c r="E117" s="10">
        <f t="shared" si="22"/>
        <v>6.7442426972164856E-11</v>
      </c>
      <c r="F117" s="10">
        <f t="shared" si="23"/>
        <v>1.6805296699460991E-18</v>
      </c>
      <c r="G117" s="10">
        <f t="shared" si="17"/>
        <v>7.2491241100376955E-2</v>
      </c>
      <c r="H117" s="10">
        <f t="shared" si="18"/>
        <v>4.1919718097678186E-11</v>
      </c>
    </row>
    <row r="118" spans="1:8" x14ac:dyDescent="0.25">
      <c r="A118">
        <v>116</v>
      </c>
      <c r="B118" s="10">
        <f t="shared" si="19"/>
        <v>5.7383743877014101E-3</v>
      </c>
      <c r="C118" s="10">
        <f t="shared" si="20"/>
        <v>1.7415122106092654E-2</v>
      </c>
      <c r="D118" s="10">
        <f t="shared" si="21"/>
        <v>2.9971787579559946E-13</v>
      </c>
      <c r="E118" s="10">
        <f t="shared" si="22"/>
        <v>8.3357107207121292E-13</v>
      </c>
      <c r="F118" s="10">
        <f t="shared" si="23"/>
        <v>2.1337880591103134E-21</v>
      </c>
      <c r="G118" s="10">
        <f t="shared" si="17"/>
        <v>1.1576748246897032E-2</v>
      </c>
      <c r="H118" s="10">
        <f t="shared" si="18"/>
        <v>5.6664447393340619E-13</v>
      </c>
    </row>
    <row r="119" spans="1:8" x14ac:dyDescent="0.25">
      <c r="A119">
        <v>117</v>
      </c>
      <c r="B119" s="10">
        <f t="shared" si="19"/>
        <v>8.4796323665062984E-4</v>
      </c>
      <c r="C119" s="10">
        <f t="shared" si="20"/>
        <v>2.1703157727574118E-3</v>
      </c>
      <c r="D119" s="10">
        <f t="shared" si="21"/>
        <v>3.6165495136493164E-15</v>
      </c>
      <c r="E119" s="10">
        <f t="shared" si="22"/>
        <v>6.1290227082965076E-15</v>
      </c>
      <c r="F119" s="10">
        <f t="shared" si="23"/>
        <v>1.201013190924027E-24</v>
      </c>
      <c r="G119" s="10">
        <f t="shared" si="17"/>
        <v>1.5091395047040208E-3</v>
      </c>
      <c r="H119" s="10">
        <f t="shared" si="18"/>
        <v>4.8727861109729124E-15</v>
      </c>
    </row>
    <row r="120" spans="1:8" x14ac:dyDescent="0.25">
      <c r="A120">
        <v>118</v>
      </c>
      <c r="B120" s="10">
        <f t="shared" si="19"/>
        <v>1.0328891102418809E-4</v>
      </c>
      <c r="C120" s="10">
        <f t="shared" si="20"/>
        <v>2.1208432380222087E-4</v>
      </c>
      <c r="D120" s="10">
        <f t="shared" si="21"/>
        <v>2.759232358499874E-17</v>
      </c>
      <c r="E120" s="10">
        <f t="shared" si="22"/>
        <v>2.5212091500635506E-17</v>
      </c>
      <c r="F120" s="10">
        <f t="shared" si="23"/>
        <v>2.7135137465089263E-28</v>
      </c>
      <c r="G120" s="10">
        <f t="shared" si="17"/>
        <v>1.5768661741320447E-4</v>
      </c>
      <c r="H120" s="10">
        <f t="shared" si="18"/>
        <v>2.6402207542817125E-17</v>
      </c>
    </row>
    <row r="121" spans="1:8" x14ac:dyDescent="0.25">
      <c r="A121">
        <v>119</v>
      </c>
      <c r="B121" s="10">
        <f t="shared" si="19"/>
        <v>1.0170383730293373E-5</v>
      </c>
      <c r="C121" s="10">
        <f t="shared" si="20"/>
        <v>1.5796064942494015E-5</v>
      </c>
      <c r="D121" s="10">
        <f t="shared" si="21"/>
        <v>1.269197694074482E-19</v>
      </c>
      <c r="E121" s="10">
        <f t="shared" si="22"/>
        <v>5.4171644035283654E-20</v>
      </c>
      <c r="F121" s="10">
        <f t="shared" si="23"/>
        <v>2.2016168082410824E-32</v>
      </c>
      <c r="G121" s="10">
        <f t="shared" si="17"/>
        <v>1.2983224336393694E-5</v>
      </c>
      <c r="H121" s="10">
        <f t="shared" si="18"/>
        <v>9.0545706721365926E-20</v>
      </c>
    </row>
    <row r="122" spans="1:8" x14ac:dyDescent="0.25">
      <c r="A122">
        <v>120</v>
      </c>
      <c r="B122" s="10">
        <f t="shared" si="19"/>
        <v>7.9229895898916703E-7</v>
      </c>
      <c r="C122" s="10">
        <f t="shared" si="20"/>
        <v>8.6869801829058487E-7</v>
      </c>
      <c r="D122" s="10">
        <f t="shared" si="21"/>
        <v>3.3397002045224732E-22</v>
      </c>
      <c r="E122" s="10">
        <f t="shared" si="22"/>
        <v>5.6302903909429906E-23</v>
      </c>
      <c r="F122" s="10">
        <f t="shared" si="23"/>
        <v>5.6612769567998582E-37</v>
      </c>
      <c r="G122" s="10">
        <f t="shared" si="17"/>
        <v>8.3049848863987595E-7</v>
      </c>
      <c r="H122" s="10">
        <f t="shared" si="18"/>
        <v>1.951364621808386E-22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44B8-797C-4E8D-9B29-C3BB43F82D4B}">
  <sheetPr codeName="Sheet2"/>
  <dimension ref="A1:C55"/>
  <sheetViews>
    <sheetView tabSelected="1" workbookViewId="0">
      <selection activeCell="O13" sqref="O13"/>
    </sheetView>
  </sheetViews>
  <sheetFormatPr defaultRowHeight="15" x14ac:dyDescent="0.25"/>
  <cols>
    <col min="1" max="1" width="9.140625" style="9"/>
    <col min="2" max="2" width="26.85546875" bestFit="1" customWidth="1"/>
    <col min="3" max="3" width="11.5703125" bestFit="1" customWidth="1"/>
  </cols>
  <sheetData>
    <row r="1" spans="1:3" ht="18" x14ac:dyDescent="0.35">
      <c r="A1" s="9" t="s">
        <v>17</v>
      </c>
    </row>
    <row r="3" spans="1:3" x14ac:dyDescent="0.25">
      <c r="B3" s="4" t="s">
        <v>1</v>
      </c>
      <c r="C3" s="1">
        <v>50</v>
      </c>
    </row>
    <row r="4" spans="1:3" x14ac:dyDescent="0.25">
      <c r="B4" s="5" t="s">
        <v>4</v>
      </c>
      <c r="C4" s="2" t="s">
        <v>6</v>
      </c>
    </row>
    <row r="5" spans="1:3" x14ac:dyDescent="0.25">
      <c r="B5" s="7" t="s">
        <v>25</v>
      </c>
      <c r="C5" s="14" cm="1">
        <f t="array" ref="C5">survivors(C3,C4)</f>
        <v>941273</v>
      </c>
    </row>
    <row r="7" spans="1:3" ht="18" x14ac:dyDescent="0.35">
      <c r="A7" s="9" t="s">
        <v>18</v>
      </c>
    </row>
    <row r="9" spans="1:3" x14ac:dyDescent="0.25">
      <c r="B9" s="4" t="s">
        <v>1</v>
      </c>
      <c r="C9" s="1">
        <v>50.2</v>
      </c>
    </row>
    <row r="10" spans="1:3" x14ac:dyDescent="0.25">
      <c r="B10" s="5" t="s">
        <v>3</v>
      </c>
      <c r="C10" s="2">
        <v>1</v>
      </c>
    </row>
    <row r="11" spans="1:3" x14ac:dyDescent="0.25">
      <c r="B11" s="5" t="s">
        <v>4</v>
      </c>
      <c r="C11" s="2" t="s">
        <v>6</v>
      </c>
    </row>
    <row r="12" spans="1:3" x14ac:dyDescent="0.25">
      <c r="B12" s="7" t="s">
        <v>26</v>
      </c>
      <c r="C12" s="14" cm="1">
        <f t="array" ref="C12">deaths(C9,C10,C11)</f>
        <v>3705</v>
      </c>
    </row>
    <row r="14" spans="1:3" ht="18" x14ac:dyDescent="0.35">
      <c r="A14" s="9" t="s">
        <v>5</v>
      </c>
    </row>
    <row r="16" spans="1:3" x14ac:dyDescent="0.25">
      <c r="B16" s="4" t="s">
        <v>1</v>
      </c>
      <c r="C16" s="1">
        <v>50</v>
      </c>
    </row>
    <row r="17" spans="1:3" x14ac:dyDescent="0.25">
      <c r="B17" s="5" t="s">
        <v>3</v>
      </c>
      <c r="C17" s="2">
        <v>1</v>
      </c>
    </row>
    <row r="18" spans="1:3" x14ac:dyDescent="0.25">
      <c r="B18" s="5" t="s">
        <v>4</v>
      </c>
      <c r="C18" s="2" t="s">
        <v>6</v>
      </c>
    </row>
    <row r="19" spans="1:3" x14ac:dyDescent="0.25">
      <c r="B19" s="8" t="s">
        <v>27</v>
      </c>
      <c r="C19" s="15" cm="1">
        <f t="array" ref="C19">survival_probability(C16,C17,C18)</f>
        <v>0.99612758466459783</v>
      </c>
    </row>
    <row r="20" spans="1:3" x14ac:dyDescent="0.25">
      <c r="B20" s="6" t="s">
        <v>28</v>
      </c>
      <c r="C20" s="16" cm="1">
        <f t="array" ref="C20">death_probability(C16,C17,C18)</f>
        <v>3.8724153354021684E-3</v>
      </c>
    </row>
    <row r="22" spans="1:3" ht="18" x14ac:dyDescent="0.35">
      <c r="A22" s="9" t="s">
        <v>24</v>
      </c>
    </row>
    <row r="24" spans="1:3" x14ac:dyDescent="0.25">
      <c r="B24" s="4" t="s">
        <v>1</v>
      </c>
      <c r="C24" s="1">
        <v>50</v>
      </c>
    </row>
    <row r="25" spans="1:3" x14ac:dyDescent="0.25">
      <c r="B25" s="5" t="s">
        <v>4</v>
      </c>
      <c r="C25" s="2" t="s">
        <v>6</v>
      </c>
    </row>
    <row r="26" spans="1:3" x14ac:dyDescent="0.25">
      <c r="B26" s="7" t="s">
        <v>29</v>
      </c>
      <c r="C26" s="13" cm="1">
        <f t="array" ref="C26">expected_remaining_lifetime(C24,C25)</f>
        <v>30.511959335920604</v>
      </c>
    </row>
    <row r="28" spans="1:3" ht="18.75" x14ac:dyDescent="0.35">
      <c r="A28" s="9" t="s">
        <v>21</v>
      </c>
    </row>
    <row r="30" spans="1:3" x14ac:dyDescent="0.25">
      <c r="B30" s="4" t="s">
        <v>1</v>
      </c>
      <c r="C30" s="1">
        <v>50</v>
      </c>
    </row>
    <row r="31" spans="1:3" x14ac:dyDescent="0.25">
      <c r="B31" s="5" t="s">
        <v>3</v>
      </c>
      <c r="C31" s="2">
        <v>15</v>
      </c>
    </row>
    <row r="32" spans="1:3" x14ac:dyDescent="0.25">
      <c r="B32" s="5" t="s">
        <v>2</v>
      </c>
      <c r="C32" s="3">
        <v>0.02</v>
      </c>
    </row>
    <row r="33" spans="1:3" x14ac:dyDescent="0.25">
      <c r="B33" s="5" t="s">
        <v>4</v>
      </c>
      <c r="C33" s="2" t="s">
        <v>6</v>
      </c>
    </row>
    <row r="34" spans="1:3" x14ac:dyDescent="0.25">
      <c r="B34" s="7" t="s">
        <v>30</v>
      </c>
      <c r="C34" s="17" cm="1">
        <f t="array" ref="C34">pure_endowment(C30,C31,C32,C33)</f>
        <v>0.66241035685916361</v>
      </c>
    </row>
    <row r="36" spans="1:3" ht="18" x14ac:dyDescent="0.35">
      <c r="A36" s="9" t="s">
        <v>22</v>
      </c>
    </row>
    <row r="38" spans="1:3" x14ac:dyDescent="0.25">
      <c r="B38" s="4" t="s">
        <v>1</v>
      </c>
      <c r="C38" s="1">
        <v>65</v>
      </c>
    </row>
    <row r="39" spans="1:3" x14ac:dyDescent="0.25">
      <c r="B39" s="5" t="s">
        <v>3</v>
      </c>
      <c r="C39" s="2">
        <v>20</v>
      </c>
    </row>
    <row r="40" spans="1:3" x14ac:dyDescent="0.25">
      <c r="B40" s="5" t="s">
        <v>2</v>
      </c>
      <c r="C40" s="3">
        <v>0.02</v>
      </c>
    </row>
    <row r="41" spans="1:3" x14ac:dyDescent="0.25">
      <c r="B41" s="5" t="s">
        <v>4</v>
      </c>
      <c r="C41" s="2" t="s">
        <v>6</v>
      </c>
    </row>
    <row r="42" spans="1:3" x14ac:dyDescent="0.25">
      <c r="B42" s="5" t="s">
        <v>20</v>
      </c>
      <c r="C42" s="2" t="b">
        <v>0</v>
      </c>
    </row>
    <row r="43" spans="1:3" x14ac:dyDescent="0.25">
      <c r="B43" s="5" t="s">
        <v>19</v>
      </c>
      <c r="C43" s="2">
        <v>1</v>
      </c>
    </row>
    <row r="44" spans="1:3" x14ac:dyDescent="0.25">
      <c r="B44" s="8" t="s">
        <v>31</v>
      </c>
      <c r="C44" s="18" cm="1">
        <f t="array" ref="C44">whole_life_annuity(C38,C40,C41,C42,C43)</f>
        <v>14.191043608875894</v>
      </c>
    </row>
    <row r="45" spans="1:3" x14ac:dyDescent="0.25">
      <c r="B45" s="6" t="s">
        <v>32</v>
      </c>
      <c r="C45" s="19" cm="1">
        <f t="array" ref="C45">term_annuity(C38,C39,C40,C41,C42,C43)</f>
        <v>12.625636605942489</v>
      </c>
    </row>
    <row r="47" spans="1:3" ht="18" x14ac:dyDescent="0.35">
      <c r="A47" s="9" t="s">
        <v>23</v>
      </c>
    </row>
    <row r="49" spans="2:3" x14ac:dyDescent="0.25">
      <c r="B49" s="4" t="s">
        <v>1</v>
      </c>
      <c r="C49" s="1">
        <v>65</v>
      </c>
    </row>
    <row r="50" spans="2:3" x14ac:dyDescent="0.25">
      <c r="B50" s="5" t="s">
        <v>3</v>
      </c>
      <c r="C50" s="2">
        <v>20</v>
      </c>
    </row>
    <row r="51" spans="2:3" x14ac:dyDescent="0.25">
      <c r="B51" s="5" t="s">
        <v>2</v>
      </c>
      <c r="C51" s="3">
        <v>0</v>
      </c>
    </row>
    <row r="52" spans="2:3" x14ac:dyDescent="0.25">
      <c r="B52" s="5" t="s">
        <v>4</v>
      </c>
      <c r="C52" s="2" t="s">
        <v>8</v>
      </c>
    </row>
    <row r="53" spans="2:3" x14ac:dyDescent="0.25">
      <c r="B53" s="5" t="s">
        <v>19</v>
      </c>
      <c r="C53" s="2">
        <v>1</v>
      </c>
    </row>
    <row r="54" spans="2:3" x14ac:dyDescent="0.25">
      <c r="B54" s="8" t="s">
        <v>33</v>
      </c>
      <c r="C54" s="18" cm="1">
        <f t="array" ref="C54">whole_life_insurance(C49,C51,C52,C53)</f>
        <v>0.99999999999999989</v>
      </c>
    </row>
    <row r="55" spans="2:3" x14ac:dyDescent="0.25">
      <c r="B55" s="6" t="s">
        <v>34</v>
      </c>
      <c r="C55" s="19" cm="1">
        <f t="array" ref="C55">term_insurance(C49,C50,C51,C52,C53)</f>
        <v>0.823343751658413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life_table</vt:lpstr>
      <vt:lpstr>_life_table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Lefèvre</dc:creator>
  <cp:lastModifiedBy>Corentin LEFEVRE</cp:lastModifiedBy>
  <dcterms:created xsi:type="dcterms:W3CDTF">2022-04-12T07:21:43Z</dcterms:created>
  <dcterms:modified xsi:type="dcterms:W3CDTF">2022-04-22T09:25:07Z</dcterms:modified>
</cp:coreProperties>
</file>