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ools\excel\add-ins\"/>
    </mc:Choice>
  </mc:AlternateContent>
  <xr:revisionPtr revIDLastSave="0" documentId="8_{43F93EF0-8043-4849-9B2E-1B2130392D4B}" xr6:coauthVersionLast="47" xr6:coauthVersionMax="47" xr10:uidLastSave="{00000000-0000-0000-0000-000000000000}"/>
  <bookViews>
    <workbookView xWindow="-120" yWindow="-120" windowWidth="29040" windowHeight="15720" xr2:uid="{8D6A068A-22C2-4DD5-AF7C-80D7A44F1A2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8" i="1" l="1"/>
  <c r="P76" i="1"/>
  <c r="P71" i="1"/>
  <c r="P45" i="1"/>
  <c r="P54" i="1"/>
  <c r="P55" i="1"/>
  <c r="P69" i="1"/>
  <c r="L64" i="1"/>
  <c r="L112" i="1"/>
  <c r="L59" i="1"/>
  <c r="L107" i="1"/>
  <c r="L86" i="1"/>
  <c r="L81" i="1"/>
  <c r="L54" i="1"/>
  <c r="L102" i="1"/>
  <c r="L49" i="1"/>
  <c r="L97" i="1"/>
  <c r="L56" i="1"/>
  <c r="L63" i="1"/>
  <c r="H34" i="1"/>
  <c r="H82" i="1"/>
  <c r="H101" i="1"/>
  <c r="H121" i="1"/>
  <c r="H51" i="1"/>
  <c r="H59" i="1"/>
  <c r="H119" i="1"/>
  <c r="H33" i="1"/>
  <c r="H36" i="1"/>
  <c r="H84" i="1"/>
  <c r="H31" i="1"/>
  <c r="H44" i="1"/>
  <c r="H69" i="1"/>
  <c r="B46" i="1"/>
  <c r="B94" i="1"/>
  <c r="B142" i="1"/>
  <c r="B190" i="1"/>
  <c r="B238" i="1"/>
  <c r="B286" i="1"/>
  <c r="B334" i="1"/>
  <c r="B382" i="1"/>
  <c r="B430" i="1"/>
  <c r="B478" i="1"/>
  <c r="B526" i="1"/>
  <c r="B574" i="1"/>
  <c r="B622" i="1"/>
  <c r="B71" i="1"/>
  <c r="B119" i="1"/>
  <c r="B167" i="1"/>
  <c r="B215" i="1"/>
  <c r="B263" i="1"/>
  <c r="B311" i="1"/>
  <c r="B359" i="1"/>
  <c r="B407" i="1"/>
  <c r="B455" i="1"/>
  <c r="B503" i="1"/>
  <c r="B551" i="1"/>
  <c r="B599" i="1"/>
  <c r="B48" i="1"/>
  <c r="B96" i="1"/>
  <c r="B144" i="1"/>
  <c r="B31" i="1"/>
  <c r="B127" i="1"/>
  <c r="B213" i="1"/>
  <c r="B285" i="1"/>
  <c r="B357" i="1"/>
  <c r="B429" i="1"/>
  <c r="B501" i="1"/>
  <c r="B573" i="1"/>
  <c r="B56" i="1"/>
  <c r="B152" i="1"/>
  <c r="P34" i="1"/>
  <c r="P29" i="1"/>
  <c r="P73" i="1"/>
  <c r="P57" i="1"/>
  <c r="P60" i="1"/>
  <c r="P61" i="1"/>
  <c r="P27" i="1"/>
  <c r="L70" i="1"/>
  <c r="L118" i="1"/>
  <c r="L65" i="1"/>
  <c r="L113" i="1"/>
  <c r="L98" i="1"/>
  <c r="L93" i="1"/>
  <c r="L60" i="1"/>
  <c r="L108" i="1"/>
  <c r="L55" i="1"/>
  <c r="L103" i="1"/>
  <c r="L68" i="1"/>
  <c r="L75" i="1"/>
  <c r="H40" i="1"/>
  <c r="H88" i="1"/>
  <c r="H113" i="1"/>
  <c r="H38" i="1"/>
  <c r="H111" i="1"/>
  <c r="H65" i="1"/>
  <c r="H55" i="1"/>
  <c r="H57" i="1"/>
  <c r="H42" i="1"/>
  <c r="H90" i="1"/>
  <c r="H37" i="1"/>
  <c r="H62" i="1"/>
  <c r="H81" i="1"/>
  <c r="B52" i="1"/>
  <c r="B100" i="1"/>
  <c r="B148" i="1"/>
  <c r="B196" i="1"/>
  <c r="B244" i="1"/>
  <c r="B292" i="1"/>
  <c r="B340" i="1"/>
  <c r="B388" i="1"/>
  <c r="B436" i="1"/>
  <c r="B484" i="1"/>
  <c r="B532" i="1"/>
  <c r="B580" i="1"/>
  <c r="B29" i="1"/>
  <c r="B77" i="1"/>
  <c r="B125" i="1"/>
  <c r="B173" i="1"/>
  <c r="B221" i="1"/>
  <c r="B269" i="1"/>
  <c r="B317" i="1"/>
  <c r="B365" i="1"/>
  <c r="B413" i="1"/>
  <c r="B461" i="1"/>
  <c r="B509" i="1"/>
  <c r="B557" i="1"/>
  <c r="B605" i="1"/>
  <c r="B54" i="1"/>
  <c r="B102" i="1"/>
  <c r="B150" i="1"/>
  <c r="B43" i="1"/>
  <c r="B139" i="1"/>
  <c r="B223" i="1"/>
  <c r="B295" i="1"/>
  <c r="B367" i="1"/>
  <c r="B439" i="1"/>
  <c r="B511" i="1"/>
  <c r="B583" i="1"/>
  <c r="B68" i="1"/>
  <c r="B164" i="1"/>
  <c r="B242" i="1"/>
  <c r="B314" i="1"/>
  <c r="B386" i="1"/>
  <c r="B458" i="1"/>
  <c r="B530" i="1"/>
  <c r="B602" i="1"/>
  <c r="B57" i="1"/>
  <c r="B153" i="1"/>
  <c r="B235" i="1"/>
  <c r="B307" i="1"/>
  <c r="B379" i="1"/>
  <c r="B451" i="1"/>
  <c r="B523" i="1"/>
  <c r="B595" i="1"/>
  <c r="B85" i="1"/>
  <c r="B177" i="1"/>
  <c r="B254" i="1"/>
  <c r="B110" i="1"/>
  <c r="B338" i="1"/>
  <c r="B482" i="1"/>
  <c r="B626" i="1"/>
  <c r="B266" i="1"/>
  <c r="B434" i="1"/>
  <c r="B578" i="1"/>
  <c r="B481" i="1"/>
  <c r="B122" i="1"/>
  <c r="B345" i="1"/>
  <c r="B489" i="1"/>
  <c r="B51" i="1"/>
  <c r="B302" i="1"/>
  <c r="B456" i="1"/>
  <c r="B600" i="1"/>
  <c r="B255" i="1"/>
  <c r="B426" i="1"/>
  <c r="B570" i="1"/>
  <c r="B204" i="1"/>
  <c r="B499" i="1"/>
  <c r="B492" i="1"/>
  <c r="B309" i="1"/>
  <c r="B606" i="1"/>
  <c r="B607" i="1"/>
  <c r="B480" i="1"/>
  <c r="B284" i="1"/>
  <c r="P53" i="1"/>
  <c r="L127" i="1"/>
  <c r="H104" i="1"/>
  <c r="H114" i="1"/>
  <c r="B124" i="1"/>
  <c r="B364" i="1"/>
  <c r="P40" i="1"/>
  <c r="P35" i="1"/>
  <c r="P38" i="1"/>
  <c r="P63" i="1"/>
  <c r="P66" i="1"/>
  <c r="P67" i="1"/>
  <c r="L28" i="1"/>
  <c r="L76" i="1"/>
  <c r="L124" i="1"/>
  <c r="L71" i="1"/>
  <c r="L119" i="1"/>
  <c r="L110" i="1"/>
  <c r="L105" i="1"/>
  <c r="L66" i="1"/>
  <c r="L114" i="1"/>
  <c r="L61" i="1"/>
  <c r="L109" i="1"/>
  <c r="L80" i="1"/>
  <c r="L87" i="1"/>
  <c r="H46" i="1"/>
  <c r="H94" i="1"/>
  <c r="H125" i="1"/>
  <c r="H56" i="1"/>
  <c r="H117" i="1"/>
  <c r="H71" i="1"/>
  <c r="H79" i="1"/>
  <c r="H75" i="1"/>
  <c r="H48" i="1"/>
  <c r="H96" i="1"/>
  <c r="H49" i="1"/>
  <c r="H80" i="1"/>
  <c r="H93" i="1"/>
  <c r="B58" i="1"/>
  <c r="B106" i="1"/>
  <c r="B154" i="1"/>
  <c r="B202" i="1"/>
  <c r="B250" i="1"/>
  <c r="B298" i="1"/>
  <c r="B346" i="1"/>
  <c r="B394" i="1"/>
  <c r="B442" i="1"/>
  <c r="B490" i="1"/>
  <c r="B538" i="1"/>
  <c r="B586" i="1"/>
  <c r="B35" i="1"/>
  <c r="B83" i="1"/>
  <c r="B131" i="1"/>
  <c r="B179" i="1"/>
  <c r="B227" i="1"/>
  <c r="B275" i="1"/>
  <c r="B323" i="1"/>
  <c r="B371" i="1"/>
  <c r="B419" i="1"/>
  <c r="B467" i="1"/>
  <c r="B515" i="1"/>
  <c r="B563" i="1"/>
  <c r="B611" i="1"/>
  <c r="B60" i="1"/>
  <c r="B108" i="1"/>
  <c r="B156" i="1"/>
  <c r="B55" i="1"/>
  <c r="B151" i="1"/>
  <c r="B231" i="1"/>
  <c r="B303" i="1"/>
  <c r="B375" i="1"/>
  <c r="B447" i="1"/>
  <c r="B519" i="1"/>
  <c r="B591" i="1"/>
  <c r="B80" i="1"/>
  <c r="B175" i="1"/>
  <c r="B252" i="1"/>
  <c r="B324" i="1"/>
  <c r="B396" i="1"/>
  <c r="B468" i="1"/>
  <c r="B540" i="1"/>
  <c r="B612" i="1"/>
  <c r="B69" i="1"/>
  <c r="B165" i="1"/>
  <c r="B243" i="1"/>
  <c r="B315" i="1"/>
  <c r="B387" i="1"/>
  <c r="B459" i="1"/>
  <c r="B531" i="1"/>
  <c r="B603" i="1"/>
  <c r="B97" i="1"/>
  <c r="B189" i="1"/>
  <c r="B264" i="1"/>
  <c r="B146" i="1"/>
  <c r="B356" i="1"/>
  <c r="B500" i="1"/>
  <c r="B39" i="1"/>
  <c r="B294" i="1"/>
  <c r="B452" i="1"/>
  <c r="B596" i="1"/>
  <c r="B517" i="1"/>
  <c r="B158" i="1"/>
  <c r="B363" i="1"/>
  <c r="B507" i="1"/>
  <c r="B87" i="1"/>
  <c r="B330" i="1"/>
  <c r="B474" i="1"/>
  <c r="B618" i="1"/>
  <c r="B283" i="1"/>
  <c r="B444" i="1"/>
  <c r="B588" i="1"/>
  <c r="B230" i="1"/>
  <c r="B553" i="1"/>
  <c r="B348" i="1"/>
  <c r="B462" i="1"/>
  <c r="B258" i="1"/>
  <c r="B98" i="1"/>
  <c r="B624" i="1"/>
  <c r="P58" i="1"/>
  <c r="L116" i="1"/>
  <c r="H41" i="1"/>
  <c r="H66" i="1"/>
  <c r="B28" i="1"/>
  <c r="B268" i="1"/>
  <c r="B460" i="1"/>
  <c r="P46" i="1"/>
  <c r="P41" i="1"/>
  <c r="P44" i="1"/>
  <c r="P75" i="1"/>
  <c r="P72" i="1"/>
  <c r="P32" i="1"/>
  <c r="L34" i="1"/>
  <c r="L82" i="1"/>
  <c r="L29" i="1"/>
  <c r="L77" i="1"/>
  <c r="L125" i="1"/>
  <c r="L122" i="1"/>
  <c r="L117" i="1"/>
  <c r="L72" i="1"/>
  <c r="L120" i="1"/>
  <c r="L67" i="1"/>
  <c r="L115" i="1"/>
  <c r="L92" i="1"/>
  <c r="L99" i="1"/>
  <c r="H52" i="1"/>
  <c r="H100" i="1"/>
  <c r="H43" i="1"/>
  <c r="H68" i="1"/>
  <c r="H29" i="1"/>
  <c r="H77" i="1"/>
  <c r="H103" i="1"/>
  <c r="H87" i="1"/>
  <c r="H54" i="1"/>
  <c r="H102" i="1"/>
  <c r="H61" i="1"/>
  <c r="H92" i="1"/>
  <c r="H27" i="1"/>
  <c r="B64" i="1"/>
  <c r="B112" i="1"/>
  <c r="B160" i="1"/>
  <c r="B208" i="1"/>
  <c r="B256" i="1"/>
  <c r="B304" i="1"/>
  <c r="B352" i="1"/>
  <c r="B400" i="1"/>
  <c r="B448" i="1"/>
  <c r="B496" i="1"/>
  <c r="B544" i="1"/>
  <c r="B592" i="1"/>
  <c r="B41" i="1"/>
  <c r="B89" i="1"/>
  <c r="B137" i="1"/>
  <c r="B185" i="1"/>
  <c r="B233" i="1"/>
  <c r="B281" i="1"/>
  <c r="B329" i="1"/>
  <c r="B377" i="1"/>
  <c r="B425" i="1"/>
  <c r="B473" i="1"/>
  <c r="B521" i="1"/>
  <c r="B569" i="1"/>
  <c r="B617" i="1"/>
  <c r="B66" i="1"/>
  <c r="B114" i="1"/>
  <c r="B162" i="1"/>
  <c r="B67" i="1"/>
  <c r="B163" i="1"/>
  <c r="B241" i="1"/>
  <c r="B313" i="1"/>
  <c r="B385" i="1"/>
  <c r="B457" i="1"/>
  <c r="B529" i="1"/>
  <c r="B601" i="1"/>
  <c r="B92" i="1"/>
  <c r="B187" i="1"/>
  <c r="B260" i="1"/>
  <c r="B332" i="1"/>
  <c r="B404" i="1"/>
  <c r="B476" i="1"/>
  <c r="B548" i="1"/>
  <c r="B620" i="1"/>
  <c r="B81" i="1"/>
  <c r="B176" i="1"/>
  <c r="B253" i="1"/>
  <c r="B325" i="1"/>
  <c r="B397" i="1"/>
  <c r="B469" i="1"/>
  <c r="B541" i="1"/>
  <c r="B613" i="1"/>
  <c r="B109" i="1"/>
  <c r="B200" i="1"/>
  <c r="B272" i="1"/>
  <c r="B181" i="1"/>
  <c r="B374" i="1"/>
  <c r="B518" i="1"/>
  <c r="B75" i="1"/>
  <c r="B320" i="1"/>
  <c r="B470" i="1"/>
  <c r="B614" i="1"/>
  <c r="B535" i="1"/>
  <c r="B193" i="1"/>
  <c r="B381" i="1"/>
  <c r="B525" i="1"/>
  <c r="B123" i="1"/>
  <c r="B62" i="1"/>
  <c r="P68" i="1"/>
  <c r="H85" i="1"/>
  <c r="H91" i="1"/>
  <c r="B220" i="1"/>
  <c r="B508" i="1"/>
  <c r="P52" i="1"/>
  <c r="P47" i="1"/>
  <c r="P56" i="1"/>
  <c r="P30" i="1"/>
  <c r="P31" i="1"/>
  <c r="P50" i="1"/>
  <c r="L40" i="1"/>
  <c r="L88" i="1"/>
  <c r="L35" i="1"/>
  <c r="L83" i="1"/>
  <c r="L38" i="1"/>
  <c r="L33" i="1"/>
  <c r="L30" i="1"/>
  <c r="L78" i="1"/>
  <c r="L126" i="1"/>
  <c r="L73" i="1"/>
  <c r="L121" i="1"/>
  <c r="L104" i="1"/>
  <c r="L111" i="1"/>
  <c r="H58" i="1"/>
  <c r="H106" i="1"/>
  <c r="H67" i="1"/>
  <c r="H86" i="1"/>
  <c r="H35" i="1"/>
  <c r="H83" i="1"/>
  <c r="H127" i="1"/>
  <c r="H99" i="1"/>
  <c r="H60" i="1"/>
  <c r="H108" i="1"/>
  <c r="H73" i="1"/>
  <c r="H110" i="1"/>
  <c r="B27" i="1"/>
  <c r="B70" i="1"/>
  <c r="B118" i="1"/>
  <c r="B166" i="1"/>
  <c r="B214" i="1"/>
  <c r="B262" i="1"/>
  <c r="B310" i="1"/>
  <c r="B358" i="1"/>
  <c r="B406" i="1"/>
  <c r="B454" i="1"/>
  <c r="B502" i="1"/>
  <c r="B550" i="1"/>
  <c r="B598" i="1"/>
  <c r="B47" i="1"/>
  <c r="B95" i="1"/>
  <c r="B143" i="1"/>
  <c r="B191" i="1"/>
  <c r="B239" i="1"/>
  <c r="B287" i="1"/>
  <c r="B335" i="1"/>
  <c r="B383" i="1"/>
  <c r="B431" i="1"/>
  <c r="B479" i="1"/>
  <c r="B527" i="1"/>
  <c r="B575" i="1"/>
  <c r="B623" i="1"/>
  <c r="B72" i="1"/>
  <c r="B120" i="1"/>
  <c r="B168" i="1"/>
  <c r="B79" i="1"/>
  <c r="B174" i="1"/>
  <c r="B249" i="1"/>
  <c r="B321" i="1"/>
  <c r="B393" i="1"/>
  <c r="B465" i="1"/>
  <c r="B537" i="1"/>
  <c r="B609" i="1"/>
  <c r="B104" i="1"/>
  <c r="B198" i="1"/>
  <c r="B270" i="1"/>
  <c r="B342" i="1"/>
  <c r="B414" i="1"/>
  <c r="B486" i="1"/>
  <c r="B558" i="1"/>
  <c r="B282" i="1"/>
  <c r="B93" i="1"/>
  <c r="B188" i="1"/>
  <c r="B261" i="1"/>
  <c r="B333" i="1"/>
  <c r="B405" i="1"/>
  <c r="B477" i="1"/>
  <c r="B549" i="1"/>
  <c r="B621" i="1"/>
  <c r="B121" i="1"/>
  <c r="B210" i="1"/>
  <c r="B290" i="1"/>
  <c r="B211" i="1"/>
  <c r="B392" i="1"/>
  <c r="B536" i="1"/>
  <c r="B111" i="1"/>
  <c r="B344" i="1"/>
  <c r="B488" i="1"/>
  <c r="B312" i="1"/>
  <c r="B571" i="1"/>
  <c r="B219" i="1"/>
  <c r="B399" i="1"/>
  <c r="B543" i="1"/>
  <c r="B159" i="1"/>
  <c r="B366" i="1"/>
  <c r="B510" i="1"/>
  <c r="B336" i="1"/>
  <c r="C10" i="1"/>
  <c r="P36" i="1"/>
  <c r="P37" i="1"/>
  <c r="P62" i="1"/>
  <c r="L46" i="1"/>
  <c r="L94" i="1"/>
  <c r="L41" i="1"/>
  <c r="L89" i="1"/>
  <c r="L50" i="1"/>
  <c r="L45" i="1"/>
  <c r="L36" i="1"/>
  <c r="L84" i="1"/>
  <c r="L31" i="1"/>
  <c r="L79" i="1"/>
  <c r="L123" i="1"/>
  <c r="H64" i="1"/>
  <c r="H112" i="1"/>
  <c r="H89" i="1"/>
  <c r="H50" i="1"/>
  <c r="H105" i="1"/>
  <c r="H122" i="1"/>
  <c r="B76" i="1"/>
  <c r="B172" i="1"/>
  <c r="B316" i="1"/>
  <c r="B412" i="1"/>
  <c r="P64" i="1"/>
  <c r="P43" i="1"/>
  <c r="L47" i="1"/>
  <c r="L42" i="1"/>
  <c r="L32" i="1"/>
  <c r="H118" i="1"/>
  <c r="H95" i="1"/>
  <c r="H120" i="1"/>
  <c r="B82" i="1"/>
  <c r="B274" i="1"/>
  <c r="B466" i="1"/>
  <c r="B610" i="1"/>
  <c r="B149" i="1"/>
  <c r="B257" i="1"/>
  <c r="B395" i="1"/>
  <c r="B533" i="1"/>
  <c r="B42" i="1"/>
  <c r="B186" i="1"/>
  <c r="B259" i="1"/>
  <c r="B421" i="1"/>
  <c r="B32" i="1"/>
  <c r="B234" i="1"/>
  <c r="B378" i="1"/>
  <c r="B522" i="1"/>
  <c r="B45" i="1"/>
  <c r="B225" i="1"/>
  <c r="B369" i="1"/>
  <c r="B513" i="1"/>
  <c r="B73" i="1"/>
  <c r="B246" i="1"/>
  <c r="B319" i="1"/>
  <c r="B608" i="1"/>
  <c r="B416" i="1"/>
  <c r="B445" i="1"/>
  <c r="B327" i="1"/>
  <c r="B615" i="1"/>
  <c r="B438" i="1"/>
  <c r="B229" i="1"/>
  <c r="B552" i="1"/>
  <c r="B463" i="1"/>
  <c r="B197" i="1"/>
  <c r="B128" i="1"/>
  <c r="B129" i="1"/>
  <c r="B157" i="1"/>
  <c r="B212" i="1"/>
  <c r="B453" i="1"/>
  <c r="B390" i="1"/>
  <c r="L52" i="1"/>
  <c r="B370" i="1"/>
  <c r="B203" i="1"/>
  <c r="B587" i="1"/>
  <c r="B547" i="1"/>
  <c r="B450" i="1"/>
  <c r="B441" i="1"/>
  <c r="B74" i="1"/>
  <c r="B560" i="1"/>
  <c r="B276" i="1"/>
  <c r="L58" i="1"/>
  <c r="H28" i="1"/>
  <c r="H63" i="1"/>
  <c r="B562" i="1"/>
  <c r="B347" i="1"/>
  <c r="B183" i="1"/>
  <c r="B350" i="1"/>
  <c r="B199" i="1"/>
  <c r="B37" i="1"/>
  <c r="B554" i="1"/>
  <c r="B561" i="1"/>
  <c r="B498" i="1"/>
  <c r="L57" i="1"/>
  <c r="H72" i="1"/>
  <c r="B418" i="1"/>
  <c r="B245" i="1"/>
  <c r="B30" i="1"/>
  <c r="B403" i="1"/>
  <c r="B504" i="1"/>
  <c r="B351" i="1"/>
  <c r="B265" i="1"/>
  <c r="B273" i="1"/>
  <c r="B516" i="1"/>
  <c r="B205" i="1"/>
  <c r="B512" i="1"/>
  <c r="B61" i="1"/>
  <c r="B427" i="1"/>
  <c r="B409" i="1"/>
  <c r="P70" i="1"/>
  <c r="P49" i="1"/>
  <c r="L53" i="1"/>
  <c r="L48" i="1"/>
  <c r="L44" i="1"/>
  <c r="H124" i="1"/>
  <c r="H107" i="1"/>
  <c r="H126" i="1"/>
  <c r="B88" i="1"/>
  <c r="B280" i="1"/>
  <c r="B472" i="1"/>
  <c r="B616" i="1"/>
  <c r="B155" i="1"/>
  <c r="B293" i="1"/>
  <c r="B401" i="1"/>
  <c r="B539" i="1"/>
  <c r="B78" i="1"/>
  <c r="B192" i="1"/>
  <c r="B267" i="1"/>
  <c r="B475" i="1"/>
  <c r="B44" i="1"/>
  <c r="B278" i="1"/>
  <c r="B422" i="1"/>
  <c r="B566" i="1"/>
  <c r="B105" i="1"/>
  <c r="B271" i="1"/>
  <c r="B415" i="1"/>
  <c r="B559" i="1"/>
  <c r="B133" i="1"/>
  <c r="B308" i="1"/>
  <c r="B410" i="1"/>
  <c r="B147" i="1"/>
  <c r="B506" i="1"/>
  <c r="B589" i="1"/>
  <c r="B417" i="1"/>
  <c r="B194" i="1"/>
  <c r="B528" i="1"/>
  <c r="B354" i="1"/>
  <c r="B63" i="1"/>
  <c r="B10" i="1"/>
  <c r="B546" i="1"/>
  <c r="B99" i="1"/>
  <c r="P51" i="1"/>
  <c r="L101" i="1"/>
  <c r="L51" i="1"/>
  <c r="H98" i="1"/>
  <c r="B136" i="1"/>
  <c r="B520" i="1"/>
  <c r="B305" i="1"/>
  <c r="B581" i="1"/>
  <c r="B103" i="1"/>
  <c r="B493" i="1"/>
  <c r="B440" i="1"/>
  <c r="B289" i="1"/>
  <c r="B577" i="1"/>
  <c r="B446" i="1"/>
  <c r="B50" i="1"/>
  <c r="B564" i="1"/>
  <c r="P74" i="1"/>
  <c r="L27" i="1"/>
  <c r="H123" i="1"/>
  <c r="B178" i="1"/>
  <c r="B65" i="1"/>
  <c r="B449" i="1"/>
  <c r="B115" i="1"/>
  <c r="B140" i="1"/>
  <c r="B594" i="1"/>
  <c r="B297" i="1"/>
  <c r="B169" i="1"/>
  <c r="B240" i="1"/>
  <c r="B471" i="1"/>
  <c r="B408" i="1"/>
  <c r="P39" i="1"/>
  <c r="H39" i="1"/>
  <c r="B184" i="1"/>
  <c r="B101" i="1"/>
  <c r="B485" i="1"/>
  <c r="B132" i="1"/>
  <c r="B555" i="1"/>
  <c r="B494" i="1"/>
  <c r="B343" i="1"/>
  <c r="B218" i="1"/>
  <c r="B362" i="1"/>
  <c r="B247" i="1"/>
  <c r="B134" i="1"/>
  <c r="P42" i="1"/>
  <c r="L85" i="1"/>
  <c r="B34" i="1"/>
  <c r="B568" i="1"/>
  <c r="B353" i="1"/>
  <c r="B138" i="1"/>
  <c r="B216" i="1"/>
  <c r="B207" i="1"/>
  <c r="B228" i="1"/>
  <c r="B391" i="1"/>
  <c r="B402" i="1"/>
  <c r="B497" i="1"/>
  <c r="B368" i="1"/>
  <c r="B505" i="1"/>
  <c r="B398" i="1"/>
  <c r="B201" i="1"/>
  <c r="P59" i="1"/>
  <c r="P33" i="1"/>
  <c r="L95" i="1"/>
  <c r="L90" i="1"/>
  <c r="L39" i="1"/>
  <c r="H97" i="1"/>
  <c r="H74" i="1"/>
  <c r="H115" i="1"/>
  <c r="B130" i="1"/>
  <c r="B322" i="1"/>
  <c r="B514" i="1"/>
  <c r="B53" i="1"/>
  <c r="B161" i="1"/>
  <c r="B299" i="1"/>
  <c r="B437" i="1"/>
  <c r="B545" i="1"/>
  <c r="B84" i="1"/>
  <c r="B91" i="1"/>
  <c r="B277" i="1"/>
  <c r="B483" i="1"/>
  <c r="B116" i="1"/>
  <c r="B288" i="1"/>
  <c r="B432" i="1"/>
  <c r="B576" i="1"/>
  <c r="B117" i="1"/>
  <c r="B279" i="1"/>
  <c r="B423" i="1"/>
  <c r="B567" i="1"/>
  <c r="B145" i="1"/>
  <c r="B326" i="1"/>
  <c r="B428" i="1"/>
  <c r="B182" i="1"/>
  <c r="B524" i="1"/>
  <c r="B625" i="1"/>
  <c r="B435" i="1"/>
  <c r="B222" i="1"/>
  <c r="B372" i="1"/>
  <c r="P65" i="1"/>
  <c r="L96" i="1"/>
  <c r="H109" i="1"/>
  <c r="H32" i="1"/>
  <c r="B328" i="1"/>
  <c r="B59" i="1"/>
  <c r="B443" i="1"/>
  <c r="B90" i="1"/>
  <c r="B331" i="1"/>
  <c r="B296" i="1"/>
  <c r="B584" i="1"/>
  <c r="B433" i="1"/>
  <c r="B38" i="1"/>
  <c r="B542" i="1"/>
  <c r="B248" i="1"/>
  <c r="B135" i="1"/>
  <c r="L62" i="1"/>
  <c r="L37" i="1"/>
  <c r="H116" i="1"/>
  <c r="H45" i="1"/>
  <c r="B556" i="1"/>
  <c r="B341" i="1"/>
  <c r="B126" i="1"/>
  <c r="B339" i="1"/>
  <c r="B306" i="1"/>
  <c r="B141" i="1"/>
  <c r="B585" i="1"/>
  <c r="B464" i="1"/>
  <c r="B86" i="1"/>
  <c r="B582" i="1"/>
  <c r="B171" i="1"/>
  <c r="L74" i="1"/>
  <c r="L43" i="1"/>
  <c r="H30" i="1"/>
  <c r="B376" i="1"/>
  <c r="B209" i="1"/>
  <c r="B593" i="1"/>
  <c r="B349" i="1"/>
  <c r="B206" i="1"/>
  <c r="B300" i="1"/>
  <c r="B487" i="1"/>
  <c r="B237" i="1"/>
  <c r="B355" i="1"/>
  <c r="B384" i="1"/>
  <c r="B337" i="1"/>
  <c r="L100" i="1"/>
  <c r="H70" i="1"/>
  <c r="B226" i="1"/>
  <c r="B107" i="1"/>
  <c r="B491" i="1"/>
  <c r="B195" i="1"/>
  <c r="B360" i="1"/>
  <c r="B318" i="1"/>
  <c r="B49" i="1"/>
  <c r="B380" i="1"/>
  <c r="B170" i="1"/>
  <c r="B36" i="1"/>
  <c r="B224" i="1"/>
  <c r="B361" i="1"/>
  <c r="B590" i="1"/>
  <c r="B420" i="1"/>
  <c r="H47" i="1"/>
  <c r="B565" i="1"/>
  <c r="B495" i="1"/>
  <c r="B572" i="1"/>
  <c r="B579" i="1"/>
  <c r="B373" i="1"/>
  <c r="B411" i="1"/>
  <c r="B33" i="1"/>
  <c r="B291" i="1"/>
  <c r="B301" i="1"/>
  <c r="B534" i="1"/>
  <c r="P48" i="1"/>
  <c r="L106" i="1"/>
  <c r="L69" i="1"/>
  <c r="L91" i="1"/>
  <c r="H76" i="1"/>
  <c r="H53" i="1"/>
  <c r="H78" i="1"/>
  <c r="B40" i="1"/>
  <c r="B232" i="1"/>
  <c r="B424" i="1"/>
  <c r="B604" i="1"/>
  <c r="B113" i="1"/>
  <c r="B251" i="1"/>
  <c r="B389" i="1"/>
  <c r="B180" i="1"/>
  <c r="B619" i="1"/>
  <c r="B217" i="1"/>
  <c r="B236" i="1"/>
  <c r="B597" i="1"/>
  <c r="B20" i="1"/>
  <c r="C22" i="1"/>
  <c r="B18" i="1"/>
  <c r="C13" i="1"/>
  <c r="B13" i="1"/>
  <c r="C18" i="1"/>
  <c r="C11" i="1"/>
  <c r="B21" i="1"/>
  <c r="B17" i="1"/>
  <c r="C19" i="1"/>
  <c r="B11" i="1"/>
  <c r="C16" i="1"/>
  <c r="C20" i="1"/>
  <c r="C17" i="1"/>
  <c r="B16" i="1"/>
  <c r="B15" i="1"/>
  <c r="C15" i="1"/>
  <c r="C23" i="1"/>
  <c r="B14" i="1"/>
  <c r="B19" i="1"/>
  <c r="B22" i="1"/>
  <c r="C14" i="1"/>
  <c r="C21" i="1"/>
  <c r="B23" i="1"/>
  <c r="Q34" i="1" l="1"/>
  <c r="R34" i="1" s="1"/>
  <c r="I74" i="1"/>
  <c r="M95" i="1"/>
  <c r="M55" i="1"/>
  <c r="M93" i="1"/>
  <c r="M91" i="1"/>
  <c r="M80" i="1"/>
  <c r="M41" i="1"/>
  <c r="M106" i="1"/>
  <c r="M28" i="1"/>
  <c r="M39" i="1"/>
  <c r="M67" i="1"/>
  <c r="M89" i="1"/>
  <c r="M72" i="1"/>
  <c r="M44" i="1"/>
  <c r="M38" i="1"/>
  <c r="Q75" i="1"/>
  <c r="R75" i="1" s="1"/>
  <c r="M34" i="1"/>
  <c r="M101" i="1"/>
  <c r="M88" i="1"/>
  <c r="M43" i="1"/>
  <c r="M65" i="1"/>
  <c r="M94" i="1"/>
  <c r="M46" i="1"/>
  <c r="M33" i="1"/>
  <c r="M98" i="1"/>
  <c r="M112" i="1"/>
  <c r="M99" i="1"/>
  <c r="M110" i="1"/>
  <c r="M100" i="1"/>
  <c r="M119" i="1"/>
  <c r="M57" i="1"/>
  <c r="M59" i="1"/>
  <c r="M61" i="1"/>
  <c r="M71" i="1"/>
  <c r="M81" i="1"/>
  <c r="M83" i="1"/>
  <c r="M85" i="1"/>
  <c r="M107" i="1"/>
  <c r="M97" i="1"/>
  <c r="M103" i="1"/>
  <c r="M45" i="1"/>
  <c r="M90" i="1"/>
  <c r="Q36" i="1"/>
  <c r="R36" i="1" s="1"/>
  <c r="Q38" i="1"/>
  <c r="R38" i="1" s="1"/>
  <c r="Q40" i="1"/>
  <c r="R40" i="1" s="1"/>
  <c r="Q31" i="1"/>
  <c r="R31" i="1" s="1"/>
  <c r="M121" i="1"/>
  <c r="M123" i="1"/>
  <c r="M125" i="1"/>
  <c r="Q59" i="1"/>
  <c r="R59" i="1" s="1"/>
  <c r="Q61" i="1"/>
  <c r="R61" i="1" s="1"/>
  <c r="Q63" i="1"/>
  <c r="R63" i="1" s="1"/>
  <c r="Q73" i="1"/>
  <c r="R73" i="1" s="1"/>
  <c r="Q52" i="1"/>
  <c r="R52" i="1" s="1"/>
  <c r="Q56" i="1"/>
  <c r="R56" i="1" s="1"/>
  <c r="M36" i="1"/>
  <c r="M68" i="1"/>
  <c r="M42" i="1"/>
  <c r="Q58" i="1"/>
  <c r="R58" i="1" s="1"/>
  <c r="M35" i="1"/>
  <c r="Q66" i="1"/>
  <c r="R66" i="1" s="1"/>
  <c r="M32" i="1"/>
  <c r="M50" i="1"/>
  <c r="M52" i="1"/>
  <c r="M54" i="1"/>
  <c r="Q33" i="1"/>
  <c r="R33" i="1" s="1"/>
  <c r="Q32" i="1"/>
  <c r="R32" i="1" s="1"/>
  <c r="M73" i="1"/>
  <c r="M75" i="1"/>
  <c r="M77" i="1"/>
  <c r="M87" i="1"/>
  <c r="M79" i="1"/>
  <c r="M105" i="1"/>
  <c r="Q29" i="1"/>
  <c r="R29" i="1" s="1"/>
  <c r="M114" i="1"/>
  <c r="M53" i="1"/>
  <c r="Q43" i="1"/>
  <c r="R43" i="1" s="1"/>
  <c r="M124" i="1"/>
  <c r="M56" i="1"/>
  <c r="Q68" i="1"/>
  <c r="R68" i="1" s="1"/>
  <c r="M47" i="1"/>
  <c r="M109" i="1"/>
  <c r="M66" i="1"/>
  <c r="Q30" i="1"/>
  <c r="R30" i="1" s="1"/>
  <c r="M117" i="1"/>
  <c r="Q44" i="1"/>
  <c r="R44" i="1" s="1"/>
  <c r="Q51" i="1"/>
  <c r="R51" i="1" s="1"/>
  <c r="M120" i="1"/>
  <c r="Q62" i="1"/>
  <c r="R62" i="1" s="1"/>
  <c r="Q54" i="1"/>
  <c r="R54" i="1" s="1"/>
  <c r="M82" i="1"/>
  <c r="Q71" i="1"/>
  <c r="R71" i="1" s="1"/>
  <c r="M69" i="1"/>
  <c r="Q48" i="1"/>
  <c r="R48" i="1" s="1"/>
  <c r="M86" i="1"/>
  <c r="M70" i="1"/>
  <c r="Q27" i="1"/>
  <c r="R27" i="1" s="1"/>
  <c r="M108" i="1"/>
  <c r="Q37" i="1"/>
  <c r="R37" i="1" s="1"/>
  <c r="M118" i="1"/>
  <c r="M58" i="1"/>
  <c r="Q47" i="1"/>
  <c r="R47" i="1" s="1"/>
  <c r="Q53" i="1"/>
  <c r="R53" i="1" s="1"/>
  <c r="M76" i="1"/>
  <c r="Q72" i="1"/>
  <c r="R72" i="1" s="1"/>
  <c r="M96" i="1"/>
  <c r="M51" i="1"/>
  <c r="M122" i="1"/>
  <c r="Q50" i="1"/>
  <c r="R50" i="1" s="1"/>
  <c r="M92" i="1"/>
  <c r="M30" i="1"/>
  <c r="M115" i="1"/>
  <c r="Q49" i="1"/>
  <c r="R49" i="1" s="1"/>
  <c r="Q41" i="1"/>
  <c r="R41" i="1" s="1"/>
  <c r="M62" i="1"/>
  <c r="Q55" i="1"/>
  <c r="R55" i="1" s="1"/>
  <c r="Q60" i="1"/>
  <c r="R60" i="1" s="1"/>
  <c r="M64" i="1"/>
  <c r="Q69" i="1"/>
  <c r="R69" i="1" s="1"/>
  <c r="M102" i="1"/>
  <c r="M48" i="1"/>
  <c r="Q28" i="1"/>
  <c r="R28" i="1" s="1"/>
  <c r="M113" i="1"/>
  <c r="Q39" i="1"/>
  <c r="R39" i="1" s="1"/>
  <c r="Q74" i="1"/>
  <c r="R74" i="1" s="1"/>
  <c r="M60" i="1"/>
  <c r="Q57" i="1"/>
  <c r="R57" i="1" s="1"/>
  <c r="Q42" i="1"/>
  <c r="R42" i="1" s="1"/>
  <c r="M78" i="1"/>
  <c r="Q67" i="1"/>
  <c r="R67" i="1" s="1"/>
  <c r="M29" i="1"/>
  <c r="Q35" i="1"/>
  <c r="R35" i="1" s="1"/>
  <c r="Q45" i="1"/>
  <c r="R45" i="1" s="1"/>
  <c r="B12" i="1"/>
  <c r="Q65" i="1"/>
  <c r="R65" i="1" s="1"/>
  <c r="M49" i="1"/>
  <c r="Q46" i="1"/>
  <c r="R46" i="1" s="1"/>
  <c r="Q64" i="1"/>
  <c r="R64" i="1" s="1"/>
  <c r="M31" i="1"/>
  <c r="M63" i="1"/>
  <c r="Q76" i="1"/>
  <c r="R76" i="1" s="1"/>
  <c r="M37" i="1"/>
  <c r="M116" i="1"/>
  <c r="M126" i="1"/>
  <c r="M111" i="1"/>
  <c r="M27" i="1"/>
  <c r="M127" i="1"/>
  <c r="M104" i="1"/>
  <c r="Q70" i="1"/>
  <c r="R70" i="1" s="1"/>
  <c r="M40" i="1"/>
  <c r="M74" i="1"/>
  <c r="M84" i="1"/>
  <c r="I60" i="1"/>
  <c r="I126" i="1"/>
  <c r="I116" i="1"/>
  <c r="I127" i="1"/>
  <c r="I55" i="1"/>
  <c r="I121" i="1"/>
  <c r="I63" i="1"/>
  <c r="I61" i="1"/>
  <c r="I56" i="1"/>
  <c r="I124" i="1"/>
  <c r="I117" i="1"/>
  <c r="I51" i="1"/>
  <c r="I52" i="1"/>
  <c r="I73" i="1"/>
  <c r="I76" i="1"/>
  <c r="I78" i="1"/>
  <c r="I80" i="1"/>
  <c r="I90" i="1"/>
  <c r="I71" i="1"/>
  <c r="I32" i="1"/>
  <c r="I91" i="1"/>
  <c r="I101" i="1"/>
  <c r="I103" i="1"/>
  <c r="I105" i="1"/>
  <c r="I92" i="1"/>
  <c r="I96" i="1"/>
  <c r="I58" i="1"/>
  <c r="C173" i="1"/>
  <c r="D173" i="1" s="1"/>
  <c r="E173" i="1" s="1"/>
  <c r="C255" i="1"/>
  <c r="D255" i="1" s="1"/>
  <c r="E255" i="1" s="1"/>
  <c r="C38" i="1"/>
  <c r="D38" i="1" s="1"/>
  <c r="E38" i="1" s="1"/>
  <c r="C185" i="1"/>
  <c r="D185" i="1" s="1"/>
  <c r="E185" i="1" s="1"/>
  <c r="C259" i="1"/>
  <c r="D259" i="1" s="1"/>
  <c r="E259" i="1" s="1"/>
  <c r="C43" i="1"/>
  <c r="D43" i="1" s="1"/>
  <c r="E43" i="1" s="1"/>
  <c r="C191" i="1"/>
  <c r="D191" i="1" s="1"/>
  <c r="E191" i="1" s="1"/>
  <c r="C263" i="1"/>
  <c r="D263" i="1" s="1"/>
  <c r="E263" i="1" s="1"/>
  <c r="C46" i="1"/>
  <c r="D46" i="1" s="1"/>
  <c r="E46" i="1" s="1"/>
  <c r="C265" i="1"/>
  <c r="D265" i="1" s="1"/>
  <c r="E265" i="1" s="1"/>
  <c r="C298" i="1"/>
  <c r="D298" i="1" s="1"/>
  <c r="E298" i="1" s="1"/>
  <c r="C250" i="1"/>
  <c r="D250" i="1" s="1"/>
  <c r="E250" i="1" s="1"/>
  <c r="C45" i="1"/>
  <c r="D45" i="1" s="1"/>
  <c r="E45" i="1" s="1"/>
  <c r="C617" i="1"/>
  <c r="D617" i="1" s="1"/>
  <c r="E617" i="1" s="1"/>
  <c r="C590" i="1"/>
  <c r="D590" i="1" s="1"/>
  <c r="E590" i="1" s="1"/>
  <c r="C576" i="1"/>
  <c r="D576" i="1" s="1"/>
  <c r="E576" i="1" s="1"/>
  <c r="C59" i="1"/>
  <c r="D59" i="1" s="1"/>
  <c r="E59" i="1" s="1"/>
  <c r="C303" i="1"/>
  <c r="D303" i="1" s="1"/>
  <c r="E303" i="1" s="1"/>
  <c r="C90" i="1"/>
  <c r="D90" i="1" s="1"/>
  <c r="E90" i="1" s="1"/>
  <c r="C317" i="1"/>
  <c r="D317" i="1" s="1"/>
  <c r="E317" i="1" s="1"/>
  <c r="C357" i="1"/>
  <c r="D357" i="1" s="1"/>
  <c r="E357" i="1" s="1"/>
  <c r="C337" i="1"/>
  <c r="D337" i="1" s="1"/>
  <c r="E337" i="1" s="1"/>
  <c r="C308" i="1"/>
  <c r="D308" i="1" s="1"/>
  <c r="E308" i="1" s="1"/>
  <c r="C280" i="1"/>
  <c r="D280" i="1" s="1"/>
  <c r="E280" i="1" s="1"/>
  <c r="C626" i="1"/>
  <c r="D626" i="1" s="1"/>
  <c r="E626" i="1" s="1"/>
  <c r="C272" i="1"/>
  <c r="D272" i="1" s="1"/>
  <c r="E272" i="1" s="1"/>
  <c r="C53" i="1"/>
  <c r="D53" i="1" s="1"/>
  <c r="E53" i="1" s="1"/>
  <c r="C178" i="1"/>
  <c r="D178" i="1" s="1"/>
  <c r="E178" i="1" s="1"/>
  <c r="C281" i="1"/>
  <c r="D281" i="1" s="1"/>
  <c r="E281" i="1" s="1"/>
  <c r="C404" i="1"/>
  <c r="D404" i="1" s="1"/>
  <c r="E404" i="1" s="1"/>
  <c r="C609" i="1"/>
  <c r="D609" i="1" s="1"/>
  <c r="E609" i="1" s="1"/>
  <c r="C354" i="1"/>
  <c r="D354" i="1" s="1"/>
  <c r="E354" i="1" s="1"/>
  <c r="C595" i="1"/>
  <c r="D595" i="1" s="1"/>
  <c r="E595" i="1" s="1"/>
  <c r="C331" i="1"/>
  <c r="D331" i="1" s="1"/>
  <c r="E331" i="1" s="1"/>
  <c r="C526" i="1"/>
  <c r="D526" i="1" s="1"/>
  <c r="E526" i="1" s="1"/>
  <c r="C413" i="1"/>
  <c r="D413" i="1" s="1"/>
  <c r="E413" i="1" s="1"/>
  <c r="C367" i="1"/>
  <c r="D367" i="1" s="1"/>
  <c r="E367" i="1" s="1"/>
  <c r="C316" i="1"/>
  <c r="D316" i="1" s="1"/>
  <c r="E316" i="1" s="1"/>
  <c r="C556" i="1"/>
  <c r="D556" i="1" s="1"/>
  <c r="E556" i="1" s="1"/>
  <c r="C390" i="1"/>
  <c r="D390" i="1" s="1"/>
  <c r="E390" i="1" s="1"/>
  <c r="C377" i="1"/>
  <c r="D377" i="1" s="1"/>
  <c r="E377" i="1" s="1"/>
  <c r="C482" i="1"/>
  <c r="D482" i="1" s="1"/>
  <c r="E482" i="1" s="1"/>
  <c r="C378" i="1"/>
  <c r="D378" i="1" s="1"/>
  <c r="E378" i="1" s="1"/>
  <c r="C220" i="1"/>
  <c r="D220" i="1" s="1"/>
  <c r="E220" i="1" s="1"/>
  <c r="C620" i="1"/>
  <c r="D620" i="1" s="1"/>
  <c r="E620" i="1" s="1"/>
  <c r="C206" i="1"/>
  <c r="D206" i="1" s="1"/>
  <c r="E206" i="1" s="1"/>
  <c r="C278" i="1"/>
  <c r="D278" i="1" s="1"/>
  <c r="E278" i="1" s="1"/>
  <c r="C569" i="1"/>
  <c r="D569" i="1" s="1"/>
  <c r="E569" i="1" s="1"/>
  <c r="C205" i="1"/>
  <c r="D205" i="1" s="1"/>
  <c r="E205" i="1" s="1"/>
  <c r="C144" i="1"/>
  <c r="D144" i="1" s="1"/>
  <c r="E144" i="1" s="1"/>
  <c r="C393" i="1"/>
  <c r="D393" i="1" s="1"/>
  <c r="E393" i="1" s="1"/>
  <c r="C333" i="1"/>
  <c r="D333" i="1" s="1"/>
  <c r="E333" i="1" s="1"/>
  <c r="C366" i="1"/>
  <c r="D366" i="1" s="1"/>
  <c r="E366" i="1" s="1"/>
  <c r="C329" i="1"/>
  <c r="D329" i="1" s="1"/>
  <c r="E329" i="1" s="1"/>
  <c r="C292" i="1"/>
  <c r="D292" i="1" s="1"/>
  <c r="E292" i="1" s="1"/>
  <c r="C623" i="1"/>
  <c r="D623" i="1" s="1"/>
  <c r="E623" i="1" s="1"/>
  <c r="C166" i="1"/>
  <c r="D166" i="1" s="1"/>
  <c r="E166" i="1" s="1"/>
  <c r="I53" i="1"/>
  <c r="I82" i="1"/>
  <c r="I34" i="1"/>
  <c r="I33" i="1"/>
  <c r="I44" i="1"/>
  <c r="I46" i="1"/>
  <c r="I48" i="1"/>
  <c r="I122" i="1"/>
  <c r="C217" i="1"/>
  <c r="D217" i="1" s="1"/>
  <c r="E217" i="1" s="1"/>
  <c r="C285" i="1"/>
  <c r="D285" i="1" s="1"/>
  <c r="E285" i="1" s="1"/>
  <c r="C66" i="1"/>
  <c r="D66" i="1" s="1"/>
  <c r="E66" i="1" s="1"/>
  <c r="C31" i="1"/>
  <c r="D31" i="1" s="1"/>
  <c r="E31" i="1" s="1"/>
  <c r="C288" i="1"/>
  <c r="D288" i="1" s="1"/>
  <c r="E288" i="1" s="1"/>
  <c r="C70" i="1"/>
  <c r="D70" i="1" s="1"/>
  <c r="E70" i="1" s="1"/>
  <c r="C35" i="1"/>
  <c r="D35" i="1" s="1"/>
  <c r="E35" i="1" s="1"/>
  <c r="C293" i="1"/>
  <c r="D293" i="1" s="1"/>
  <c r="E293" i="1" s="1"/>
  <c r="C74" i="1"/>
  <c r="D74" i="1" s="1"/>
  <c r="E74" i="1" s="1"/>
  <c r="C302" i="1"/>
  <c r="D302" i="1" s="1"/>
  <c r="E302" i="1" s="1"/>
  <c r="C334" i="1"/>
  <c r="D334" i="1" s="1"/>
  <c r="E334" i="1" s="1"/>
  <c r="C313" i="1"/>
  <c r="D313" i="1" s="1"/>
  <c r="E313" i="1" s="1"/>
  <c r="C254" i="1"/>
  <c r="D254" i="1" s="1"/>
  <c r="E254" i="1" s="1"/>
  <c r="C118" i="1"/>
  <c r="D118" i="1" s="1"/>
  <c r="E118" i="1" s="1"/>
  <c r="C614" i="1"/>
  <c r="D614" i="1" s="1"/>
  <c r="E614" i="1" s="1"/>
  <c r="C159" i="1"/>
  <c r="D159" i="1" s="1"/>
  <c r="E159" i="1" s="1"/>
  <c r="C85" i="1"/>
  <c r="D85" i="1" s="1"/>
  <c r="E85" i="1" s="1"/>
  <c r="C51" i="1"/>
  <c r="D51" i="1" s="1"/>
  <c r="E51" i="1" s="1"/>
  <c r="C133" i="1"/>
  <c r="D133" i="1" s="1"/>
  <c r="E133" i="1" s="1"/>
  <c r="C339" i="1"/>
  <c r="D339" i="1" s="1"/>
  <c r="E339" i="1" s="1"/>
  <c r="C391" i="1"/>
  <c r="D391" i="1" s="1"/>
  <c r="E391" i="1" s="1"/>
  <c r="I27" i="1"/>
  <c r="I84" i="1"/>
  <c r="I86" i="1"/>
  <c r="I88" i="1"/>
  <c r="I98" i="1"/>
  <c r="I97" i="1"/>
  <c r="I29" i="1"/>
  <c r="I106" i="1"/>
  <c r="I108" i="1"/>
  <c r="I110" i="1"/>
  <c r="I112" i="1"/>
  <c r="I66" i="1"/>
  <c r="C63" i="1"/>
  <c r="D63" i="1" s="1"/>
  <c r="E63" i="1" s="1"/>
  <c r="C29" i="1"/>
  <c r="D29" i="1" s="1"/>
  <c r="E29" i="1" s="1"/>
  <c r="C93" i="1"/>
  <c r="D93" i="1" s="1"/>
  <c r="E93" i="1" s="1"/>
  <c r="C72" i="1"/>
  <c r="D72" i="1" s="1"/>
  <c r="E72" i="1" s="1"/>
  <c r="C32" i="1"/>
  <c r="D32" i="1" s="1"/>
  <c r="E32" i="1" s="1"/>
  <c r="C100" i="1"/>
  <c r="D100" i="1" s="1"/>
  <c r="E100" i="1" s="1"/>
  <c r="C75" i="1"/>
  <c r="D75" i="1" s="1"/>
  <c r="E75" i="1" s="1"/>
  <c r="C36" i="1"/>
  <c r="D36" i="1" s="1"/>
  <c r="E36" i="1" s="1"/>
  <c r="C112" i="1"/>
  <c r="D112" i="1" s="1"/>
  <c r="E112" i="1" s="1"/>
  <c r="C327" i="1"/>
  <c r="D327" i="1" s="1"/>
  <c r="E327" i="1" s="1"/>
  <c r="C381" i="1"/>
  <c r="D381" i="1" s="1"/>
  <c r="E381" i="1" s="1"/>
  <c r="C351" i="1"/>
  <c r="D351" i="1" s="1"/>
  <c r="E351" i="1" s="1"/>
  <c r="C344" i="1"/>
  <c r="D344" i="1" s="1"/>
  <c r="E344" i="1" s="1"/>
  <c r="C319" i="1"/>
  <c r="D319" i="1" s="1"/>
  <c r="E319" i="1" s="1"/>
  <c r="C65" i="1"/>
  <c r="D65" i="1" s="1"/>
  <c r="E65" i="1" s="1"/>
  <c r="C322" i="1"/>
  <c r="D322" i="1" s="1"/>
  <c r="E322" i="1" s="1"/>
  <c r="C123" i="1"/>
  <c r="D123" i="1" s="1"/>
  <c r="E123" i="1" s="1"/>
  <c r="C86" i="1"/>
  <c r="D86" i="1" s="1"/>
  <c r="E86" i="1" s="1"/>
  <c r="C172" i="1"/>
  <c r="D172" i="1" s="1"/>
  <c r="E172" i="1" s="1"/>
  <c r="C368" i="1"/>
  <c r="D368" i="1" s="1"/>
  <c r="E368" i="1" s="1"/>
  <c r="C426" i="1"/>
  <c r="D426" i="1" s="1"/>
  <c r="E426" i="1" s="1"/>
  <c r="I119" i="1"/>
  <c r="I115" i="1"/>
  <c r="I59" i="1"/>
  <c r="I102" i="1"/>
  <c r="I41" i="1"/>
  <c r="I94" i="1"/>
  <c r="I111" i="1"/>
  <c r="C28" i="1"/>
  <c r="D28" i="1" s="1"/>
  <c r="E28" i="1" s="1"/>
  <c r="C221" i="1"/>
  <c r="D221" i="1" s="1"/>
  <c r="E221" i="1" s="1"/>
  <c r="C94" i="1"/>
  <c r="D94" i="1" s="1"/>
  <c r="E94" i="1" s="1"/>
  <c r="C60" i="1"/>
  <c r="D60" i="1" s="1"/>
  <c r="E60" i="1" s="1"/>
  <c r="C126" i="1"/>
  <c r="D126" i="1" s="1"/>
  <c r="E126" i="1" s="1"/>
  <c r="C99" i="1"/>
  <c r="D99" i="1" s="1"/>
  <c r="E99" i="1" s="1"/>
  <c r="C229" i="1"/>
  <c r="D229" i="1" s="1"/>
  <c r="E229" i="1" s="1"/>
  <c r="C57" i="1"/>
  <c r="D57" i="1" s="1"/>
  <c r="E57" i="1" s="1"/>
  <c r="C436" i="1"/>
  <c r="D436" i="1" s="1"/>
  <c r="E436" i="1" s="1"/>
  <c r="C521" i="1"/>
  <c r="D521" i="1" s="1"/>
  <c r="E521" i="1" s="1"/>
  <c r="C109" i="1"/>
  <c r="D109" i="1" s="1"/>
  <c r="E109" i="1" s="1"/>
  <c r="C282" i="1"/>
  <c r="D282" i="1" s="1"/>
  <c r="E282" i="1" s="1"/>
  <c r="C199" i="1"/>
  <c r="D199" i="1" s="1"/>
  <c r="E199" i="1" s="1"/>
  <c r="C465" i="1"/>
  <c r="D465" i="1" s="1"/>
  <c r="E465" i="1" s="1"/>
  <c r="C115" i="1"/>
  <c r="D115" i="1" s="1"/>
  <c r="E115" i="1" s="1"/>
  <c r="C571" i="1"/>
  <c r="D571" i="1" s="1"/>
  <c r="E571" i="1" s="1"/>
  <c r="C579" i="1"/>
  <c r="D579" i="1" s="1"/>
  <c r="E579" i="1" s="1"/>
  <c r="C397" i="1"/>
  <c r="D397" i="1" s="1"/>
  <c r="E397" i="1" s="1"/>
  <c r="C160" i="1"/>
  <c r="D160" i="1" s="1"/>
  <c r="E160" i="1" s="1"/>
  <c r="C209" i="1"/>
  <c r="D209" i="1" s="1"/>
  <c r="E209" i="1" s="1"/>
  <c r="C450" i="1"/>
  <c r="D450" i="1" s="1"/>
  <c r="E450" i="1" s="1"/>
  <c r="C326" i="1"/>
  <c r="D326" i="1" s="1"/>
  <c r="E326" i="1" s="1"/>
  <c r="C568" i="1"/>
  <c r="D568" i="1" s="1"/>
  <c r="E568" i="1" s="1"/>
  <c r="C479" i="1"/>
  <c r="D479" i="1" s="1"/>
  <c r="E479" i="1" s="1"/>
  <c r="C619" i="1"/>
  <c r="D619" i="1" s="1"/>
  <c r="E619" i="1" s="1"/>
  <c r="C364" i="1"/>
  <c r="D364" i="1" s="1"/>
  <c r="E364" i="1" s="1"/>
  <c r="C150" i="1"/>
  <c r="D150" i="1" s="1"/>
  <c r="E150" i="1" s="1"/>
  <c r="C610" i="1"/>
  <c r="D610" i="1" s="1"/>
  <c r="E610" i="1" s="1"/>
  <c r="C611" i="1"/>
  <c r="D611" i="1" s="1"/>
  <c r="E611" i="1" s="1"/>
  <c r="C386" i="1"/>
  <c r="D386" i="1" s="1"/>
  <c r="E386" i="1" s="1"/>
  <c r="C121" i="1"/>
  <c r="D121" i="1" s="1"/>
  <c r="E121" i="1" s="1"/>
  <c r="C227" i="1"/>
  <c r="D227" i="1" s="1"/>
  <c r="E227" i="1" s="1"/>
  <c r="C624" i="1"/>
  <c r="D624" i="1" s="1"/>
  <c r="E624" i="1" s="1"/>
  <c r="C406" i="1"/>
  <c r="D406" i="1" s="1"/>
  <c r="E406" i="1" s="1"/>
  <c r="C487" i="1"/>
  <c r="D487" i="1" s="1"/>
  <c r="E487" i="1" s="1"/>
  <c r="C330" i="1"/>
  <c r="D330" i="1" s="1"/>
  <c r="E330" i="1" s="1"/>
  <c r="C554" i="1"/>
  <c r="D554" i="1" s="1"/>
  <c r="E554" i="1" s="1"/>
  <c r="C279" i="1"/>
  <c r="D279" i="1" s="1"/>
  <c r="E279" i="1" s="1"/>
  <c r="C423" i="1"/>
  <c r="D423" i="1" s="1"/>
  <c r="E423" i="1" s="1"/>
  <c r="C559" i="1"/>
  <c r="D559" i="1" s="1"/>
  <c r="E559" i="1" s="1"/>
  <c r="C306" i="1"/>
  <c r="D306" i="1" s="1"/>
  <c r="E306" i="1" s="1"/>
  <c r="C394" i="1"/>
  <c r="D394" i="1" s="1"/>
  <c r="E394" i="1" s="1"/>
  <c r="C507" i="1"/>
  <c r="D507" i="1" s="1"/>
  <c r="E507" i="1" s="1"/>
  <c r="C513" i="1"/>
  <c r="D513" i="1" s="1"/>
  <c r="E513" i="1" s="1"/>
  <c r="C249" i="1"/>
  <c r="D249" i="1" s="1"/>
  <c r="E249" i="1" s="1"/>
  <c r="C396" i="1"/>
  <c r="D396" i="1" s="1"/>
  <c r="E396" i="1" s="1"/>
  <c r="C335" i="1"/>
  <c r="D335" i="1" s="1"/>
  <c r="E335" i="1" s="1"/>
  <c r="C299" i="1"/>
  <c r="D299" i="1" s="1"/>
  <c r="E299" i="1" s="1"/>
  <c r="C336" i="1"/>
  <c r="D336" i="1" s="1"/>
  <c r="E336" i="1" s="1"/>
  <c r="C164" i="1"/>
  <c r="D164" i="1" s="1"/>
  <c r="E164" i="1" s="1"/>
  <c r="C373" i="1"/>
  <c r="D373" i="1" s="1"/>
  <c r="E373" i="1" s="1"/>
  <c r="C543" i="1"/>
  <c r="D543" i="1" s="1"/>
  <c r="E543" i="1" s="1"/>
  <c r="C341" i="1"/>
  <c r="D341" i="1" s="1"/>
  <c r="E341" i="1" s="1"/>
  <c r="C567" i="1"/>
  <c r="D567" i="1" s="1"/>
  <c r="E567" i="1" s="1"/>
  <c r="C151" i="1"/>
  <c r="D151" i="1" s="1"/>
  <c r="E151" i="1" s="1"/>
  <c r="C245" i="1"/>
  <c r="D245" i="1" s="1"/>
  <c r="E245" i="1" s="1"/>
  <c r="C392" i="1"/>
  <c r="D392" i="1" s="1"/>
  <c r="E392" i="1" s="1"/>
  <c r="C597" i="1"/>
  <c r="D597" i="1" s="1"/>
  <c r="E597" i="1" s="1"/>
  <c r="C311" i="1"/>
  <c r="D311" i="1" s="1"/>
  <c r="E311" i="1" s="1"/>
  <c r="C544" i="1"/>
  <c r="D544" i="1" s="1"/>
  <c r="E544" i="1" s="1"/>
  <c r="C452" i="1"/>
  <c r="D452" i="1" s="1"/>
  <c r="E452" i="1" s="1"/>
  <c r="C469" i="1"/>
  <c r="D469" i="1" s="1"/>
  <c r="E469" i="1" s="1"/>
  <c r="C603" i="1"/>
  <c r="D603" i="1" s="1"/>
  <c r="E603" i="1" s="1"/>
  <c r="C551" i="1"/>
  <c r="D551" i="1" s="1"/>
  <c r="E551" i="1" s="1"/>
  <c r="C158" i="1"/>
  <c r="D158" i="1" s="1"/>
  <c r="E158" i="1" s="1"/>
  <c r="C518" i="1"/>
  <c r="D518" i="1" s="1"/>
  <c r="E518" i="1" s="1"/>
  <c r="C106" i="1"/>
  <c r="D106" i="1" s="1"/>
  <c r="E106" i="1" s="1"/>
  <c r="C380" i="1"/>
  <c r="D380" i="1" s="1"/>
  <c r="E380" i="1" s="1"/>
  <c r="C489" i="1"/>
  <c r="D489" i="1" s="1"/>
  <c r="E489" i="1" s="1"/>
  <c r="C586" i="1"/>
  <c r="D586" i="1" s="1"/>
  <c r="E586" i="1" s="1"/>
  <c r="C446" i="1"/>
  <c r="D446" i="1" s="1"/>
  <c r="E446" i="1" s="1"/>
  <c r="C130" i="1"/>
  <c r="D130" i="1" s="1"/>
  <c r="E130" i="1" s="1"/>
  <c r="C200" i="1"/>
  <c r="D200" i="1" s="1"/>
  <c r="E200" i="1" s="1"/>
  <c r="C324" i="1"/>
  <c r="D324" i="1" s="1"/>
  <c r="E324" i="1" s="1"/>
  <c r="C49" i="1"/>
  <c r="D49" i="1" s="1"/>
  <c r="E49" i="1" s="1"/>
  <c r="C431" i="1"/>
  <c r="D431" i="1" s="1"/>
  <c r="E431" i="1" s="1"/>
  <c r="C552" i="1"/>
  <c r="D552" i="1" s="1"/>
  <c r="E552" i="1" s="1"/>
  <c r="C92" i="1"/>
  <c r="D92" i="1" s="1"/>
  <c r="E92" i="1" s="1"/>
  <c r="C592" i="1"/>
  <c r="D592" i="1" s="1"/>
  <c r="E592" i="1" s="1"/>
  <c r="C574" i="1"/>
  <c r="D574" i="1" s="1"/>
  <c r="E574" i="1" s="1"/>
  <c r="C175" i="1"/>
  <c r="D175" i="1" s="1"/>
  <c r="E175" i="1" s="1"/>
  <c r="C509" i="1"/>
  <c r="D509" i="1" s="1"/>
  <c r="E509" i="1" s="1"/>
  <c r="C169" i="1"/>
  <c r="D169" i="1" s="1"/>
  <c r="E169" i="1" s="1"/>
  <c r="C615" i="1"/>
  <c r="D615" i="1" s="1"/>
  <c r="E615" i="1" s="1"/>
  <c r="C541" i="1"/>
  <c r="D541" i="1" s="1"/>
  <c r="E541" i="1" s="1"/>
  <c r="I43" i="1"/>
  <c r="I118" i="1"/>
  <c r="I77" i="1"/>
  <c r="I68" i="1"/>
  <c r="I87" i="1"/>
  <c r="I50" i="1"/>
  <c r="C91" i="1"/>
  <c r="D91" i="1" s="1"/>
  <c r="E91" i="1" s="1"/>
  <c r="C56" i="1"/>
  <c r="D56" i="1" s="1"/>
  <c r="E56" i="1" s="1"/>
  <c r="C119" i="1"/>
  <c r="D119" i="1" s="1"/>
  <c r="E119" i="1" s="1"/>
  <c r="C96" i="1"/>
  <c r="D96" i="1" s="1"/>
  <c r="E96" i="1" s="1"/>
  <c r="C157" i="1"/>
  <c r="D157" i="1" s="1"/>
  <c r="E157" i="1" s="1"/>
  <c r="C152" i="1"/>
  <c r="D152" i="1" s="1"/>
  <c r="E152" i="1" s="1"/>
  <c r="C356" i="1"/>
  <c r="D356" i="1" s="1"/>
  <c r="E356" i="1" s="1"/>
  <c r="C135" i="1"/>
  <c r="D135" i="1" s="1"/>
  <c r="E135" i="1" s="1"/>
  <c r="C493" i="1"/>
  <c r="D493" i="1" s="1"/>
  <c r="E493" i="1" s="1"/>
  <c r="C560" i="1"/>
  <c r="D560" i="1" s="1"/>
  <c r="E560" i="1" s="1"/>
  <c r="C141" i="1"/>
  <c r="D141" i="1" s="1"/>
  <c r="E141" i="1" s="1"/>
  <c r="C110" i="1"/>
  <c r="D110" i="1" s="1"/>
  <c r="E110" i="1" s="1"/>
  <c r="C244" i="1"/>
  <c r="D244" i="1" s="1"/>
  <c r="E244" i="1" s="1"/>
  <c r="C103" i="1"/>
  <c r="D103" i="1" s="1"/>
  <c r="E103" i="1" s="1"/>
  <c r="C219" i="1"/>
  <c r="D219" i="1" s="1"/>
  <c r="E219" i="1" s="1"/>
  <c r="C605" i="1"/>
  <c r="D605" i="1" s="1"/>
  <c r="E605" i="1" s="1"/>
  <c r="C602" i="1"/>
  <c r="D602" i="1" s="1"/>
  <c r="E602" i="1" s="1"/>
  <c r="C376" i="1"/>
  <c r="D376" i="1" s="1"/>
  <c r="E376" i="1" s="1"/>
  <c r="C78" i="1"/>
  <c r="D78" i="1" s="1"/>
  <c r="E78" i="1" s="1"/>
  <c r="C269" i="1"/>
  <c r="D269" i="1" s="1"/>
  <c r="E269" i="1" s="1"/>
  <c r="C114" i="1"/>
  <c r="D114" i="1" s="1"/>
  <c r="E114" i="1" s="1"/>
  <c r="C449" i="1"/>
  <c r="D449" i="1" s="1"/>
  <c r="E449" i="1" s="1"/>
  <c r="C606" i="1"/>
  <c r="D606" i="1" s="1"/>
  <c r="E606" i="1" s="1"/>
  <c r="C600" i="1"/>
  <c r="D600" i="1" s="1"/>
  <c r="E600" i="1" s="1"/>
  <c r="C76" i="1"/>
  <c r="D76" i="1" s="1"/>
  <c r="E76" i="1" s="1"/>
  <c r="C294" i="1"/>
  <c r="D294" i="1" s="1"/>
  <c r="E294" i="1" s="1"/>
  <c r="C332" i="1"/>
  <c r="D332" i="1" s="1"/>
  <c r="E332" i="1" s="1"/>
  <c r="C213" i="1"/>
  <c r="D213" i="1" s="1"/>
  <c r="E213" i="1" s="1"/>
  <c r="C432" i="1"/>
  <c r="D432" i="1" s="1"/>
  <c r="E432" i="1" s="1"/>
  <c r="C580" i="1"/>
  <c r="D580" i="1" s="1"/>
  <c r="E580" i="1" s="1"/>
  <c r="C284" i="1"/>
  <c r="D284" i="1" s="1"/>
  <c r="E284" i="1" s="1"/>
  <c r="C585" i="1"/>
  <c r="D585" i="1" s="1"/>
  <c r="E585" i="1" s="1"/>
  <c r="C466" i="1"/>
  <c r="D466" i="1" s="1"/>
  <c r="E466" i="1" s="1"/>
  <c r="C566" i="1"/>
  <c r="D566" i="1" s="1"/>
  <c r="E566" i="1" s="1"/>
  <c r="C137" i="1"/>
  <c r="D137" i="1" s="1"/>
  <c r="E137" i="1" s="1"/>
  <c r="C434" i="1"/>
  <c r="D434" i="1" s="1"/>
  <c r="E434" i="1" s="1"/>
  <c r="C411" i="1"/>
  <c r="D411" i="1" s="1"/>
  <c r="E411" i="1" s="1"/>
  <c r="C82" i="1"/>
  <c r="D82" i="1" s="1"/>
  <c r="E82" i="1" s="1"/>
  <c r="C350" i="1"/>
  <c r="D350" i="1" s="1"/>
  <c r="E350" i="1" s="1"/>
  <c r="C204" i="1"/>
  <c r="D204" i="1" s="1"/>
  <c r="E204" i="1" s="1"/>
  <c r="C415" i="1"/>
  <c r="D415" i="1" s="1"/>
  <c r="E415" i="1" s="1"/>
  <c r="C524" i="1"/>
  <c r="D524" i="1" s="1"/>
  <c r="E524" i="1" s="1"/>
  <c r="C440" i="1"/>
  <c r="D440" i="1" s="1"/>
  <c r="E440" i="1" s="1"/>
  <c r="C203" i="1"/>
  <c r="D203" i="1" s="1"/>
  <c r="E203" i="1" s="1"/>
  <c r="C246" i="1"/>
  <c r="D246" i="1" s="1"/>
  <c r="E246" i="1" s="1"/>
  <c r="C448" i="1"/>
  <c r="D448" i="1" s="1"/>
  <c r="E448" i="1" s="1"/>
  <c r="I39" i="1"/>
  <c r="I109" i="1"/>
  <c r="C95" i="1"/>
  <c r="D95" i="1" s="1"/>
  <c r="E95" i="1" s="1"/>
  <c r="C138" i="1"/>
  <c r="D138" i="1" s="1"/>
  <c r="E138" i="1" s="1"/>
  <c r="C389" i="1"/>
  <c r="D389" i="1" s="1"/>
  <c r="E389" i="1" s="1"/>
  <c r="C370" i="1"/>
  <c r="D370" i="1" s="1"/>
  <c r="E370" i="1" s="1"/>
  <c r="C228" i="1"/>
  <c r="D228" i="1" s="1"/>
  <c r="E228" i="1" s="1"/>
  <c r="C237" i="1"/>
  <c r="D237" i="1" s="1"/>
  <c r="E237" i="1" s="1"/>
  <c r="C352" i="1"/>
  <c r="D352" i="1" s="1"/>
  <c r="E352" i="1" s="1"/>
  <c r="I125" i="1"/>
  <c r="I72" i="1"/>
  <c r="I69" i="1"/>
  <c r="I36" i="1"/>
  <c r="I114" i="1"/>
  <c r="I31" i="1"/>
  <c r="I45" i="1"/>
  <c r="C113" i="1"/>
  <c r="D113" i="1" s="1"/>
  <c r="E113" i="1" s="1"/>
  <c r="C89" i="1"/>
  <c r="D89" i="1" s="1"/>
  <c r="E89" i="1" s="1"/>
  <c r="C154" i="1"/>
  <c r="D154" i="1" s="1"/>
  <c r="E154" i="1" s="1"/>
  <c r="C139" i="1"/>
  <c r="D139" i="1" s="1"/>
  <c r="E139" i="1" s="1"/>
  <c r="C105" i="1"/>
  <c r="D105" i="1" s="1"/>
  <c r="E105" i="1" s="1"/>
  <c r="C188" i="1"/>
  <c r="D188" i="1" s="1"/>
  <c r="E188" i="1" s="1"/>
  <c r="C399" i="1"/>
  <c r="D399" i="1" s="1"/>
  <c r="E399" i="1" s="1"/>
  <c r="C218" i="1"/>
  <c r="D218" i="1" s="1"/>
  <c r="E218" i="1" s="1"/>
  <c r="C523" i="1"/>
  <c r="D523" i="1" s="1"/>
  <c r="E523" i="1" s="1"/>
  <c r="C304" i="1"/>
  <c r="D304" i="1" s="1"/>
  <c r="E304" i="1" s="1"/>
  <c r="C170" i="1"/>
  <c r="D170" i="1" s="1"/>
  <c r="E170" i="1" s="1"/>
  <c r="C168" i="1"/>
  <c r="D168" i="1" s="1"/>
  <c r="E168" i="1" s="1"/>
  <c r="C277" i="1"/>
  <c r="D277" i="1" s="1"/>
  <c r="E277" i="1" s="1"/>
  <c r="C183" i="1"/>
  <c r="D183" i="1" s="1"/>
  <c r="E183" i="1" s="1"/>
  <c r="C271" i="1"/>
  <c r="D271" i="1" s="1"/>
  <c r="E271" i="1" s="1"/>
  <c r="C405" i="1"/>
  <c r="D405" i="1" s="1"/>
  <c r="E405" i="1" s="1"/>
  <c r="C247" i="1"/>
  <c r="D247" i="1" s="1"/>
  <c r="E247" i="1" s="1"/>
  <c r="C401" i="1"/>
  <c r="D401" i="1" s="1"/>
  <c r="E401" i="1" s="1"/>
  <c r="C179" i="1"/>
  <c r="D179" i="1" s="1"/>
  <c r="E179" i="1" s="1"/>
  <c r="C320" i="1"/>
  <c r="D320" i="1" s="1"/>
  <c r="E320" i="1" s="1"/>
  <c r="C225" i="1"/>
  <c r="D225" i="1" s="1"/>
  <c r="E225" i="1" s="1"/>
  <c r="C511" i="1"/>
  <c r="D511" i="1" s="1"/>
  <c r="E511" i="1" s="1"/>
  <c r="C186" i="1"/>
  <c r="D186" i="1" s="1"/>
  <c r="E186" i="1" s="1"/>
  <c r="C604" i="1"/>
  <c r="D604" i="1" s="1"/>
  <c r="E604" i="1" s="1"/>
  <c r="C607" i="1"/>
  <c r="D607" i="1" s="1"/>
  <c r="E607" i="1" s="1"/>
  <c r="C403" i="1"/>
  <c r="D403" i="1" s="1"/>
  <c r="E403" i="1" s="1"/>
  <c r="C462" i="1"/>
  <c r="D462" i="1" s="1"/>
  <c r="E462" i="1" s="1"/>
  <c r="C362" i="1"/>
  <c r="D362" i="1" s="1"/>
  <c r="E362" i="1" s="1"/>
  <c r="C305" i="1"/>
  <c r="D305" i="1" s="1"/>
  <c r="E305" i="1" s="1"/>
  <c r="C533" i="1"/>
  <c r="D533" i="1" s="1"/>
  <c r="E533" i="1" s="1"/>
  <c r="C162" i="1"/>
  <c r="D162" i="1" s="1"/>
  <c r="E162" i="1" s="1"/>
  <c r="C301" i="1"/>
  <c r="D301" i="1" s="1"/>
  <c r="E301" i="1" s="1"/>
  <c r="C384" i="1"/>
  <c r="D384" i="1" s="1"/>
  <c r="E384" i="1" s="1"/>
  <c r="C443" i="1"/>
  <c r="D443" i="1" s="1"/>
  <c r="E443" i="1" s="1"/>
  <c r="C146" i="1"/>
  <c r="D146" i="1" s="1"/>
  <c r="E146" i="1" s="1"/>
  <c r="C347" i="1"/>
  <c r="D347" i="1" s="1"/>
  <c r="E347" i="1" s="1"/>
  <c r="C439" i="1"/>
  <c r="D439" i="1" s="1"/>
  <c r="E439" i="1" s="1"/>
  <c r="C84" i="1"/>
  <c r="D84" i="1" s="1"/>
  <c r="E84" i="1" s="1"/>
  <c r="C124" i="1"/>
  <c r="D124" i="1" s="1"/>
  <c r="E124" i="1" s="1"/>
  <c r="C116" i="1"/>
  <c r="D116" i="1" s="1"/>
  <c r="E116" i="1" s="1"/>
  <c r="C147" i="1"/>
  <c r="D147" i="1" s="1"/>
  <c r="E147" i="1" s="1"/>
  <c r="C618" i="1"/>
  <c r="D618" i="1" s="1"/>
  <c r="E618" i="1" s="1"/>
  <c r="C427" i="1"/>
  <c r="D427" i="1" s="1"/>
  <c r="E427" i="1" s="1"/>
  <c r="C264" i="1"/>
  <c r="D264" i="1" s="1"/>
  <c r="E264" i="1" s="1"/>
  <c r="C189" i="1"/>
  <c r="D189" i="1" s="1"/>
  <c r="E189" i="1" s="1"/>
  <c r="C287" i="1"/>
  <c r="D287" i="1" s="1"/>
  <c r="E287" i="1" s="1"/>
  <c r="C248" i="1"/>
  <c r="D248" i="1" s="1"/>
  <c r="E248" i="1" s="1"/>
  <c r="C30" i="1"/>
  <c r="D30" i="1" s="1"/>
  <c r="E30" i="1" s="1"/>
  <c r="C444" i="1"/>
  <c r="D444" i="1" s="1"/>
  <c r="E444" i="1" s="1"/>
  <c r="C328" i="1"/>
  <c r="D328" i="1" s="1"/>
  <c r="E328" i="1" s="1"/>
  <c r="C534" i="1"/>
  <c r="D534" i="1" s="1"/>
  <c r="E534" i="1" s="1"/>
  <c r="C622" i="1"/>
  <c r="D622" i="1" s="1"/>
  <c r="E622" i="1" s="1"/>
  <c r="C514" i="1"/>
  <c r="D514" i="1" s="1"/>
  <c r="E514" i="1" s="1"/>
  <c r="C39" i="1"/>
  <c r="D39" i="1" s="1"/>
  <c r="E39" i="1" s="1"/>
  <c r="C180" i="1"/>
  <c r="D180" i="1" s="1"/>
  <c r="E180" i="1" s="1"/>
  <c r="C385" i="1"/>
  <c r="D385" i="1" s="1"/>
  <c r="E385" i="1" s="1"/>
  <c r="C338" i="1"/>
  <c r="D338" i="1" s="1"/>
  <c r="E338" i="1" s="1"/>
  <c r="C297" i="1"/>
  <c r="D297" i="1" s="1"/>
  <c r="E297" i="1" s="1"/>
  <c r="I62" i="1"/>
  <c r="I95" i="1"/>
  <c r="C148" i="1"/>
  <c r="D148" i="1" s="1"/>
  <c r="E148" i="1" s="1"/>
  <c r="C174" i="1"/>
  <c r="D174" i="1" s="1"/>
  <c r="E174" i="1" s="1"/>
  <c r="C42" i="1"/>
  <c r="D42" i="1" s="1"/>
  <c r="E42" i="1" s="1"/>
  <c r="C553" i="1"/>
  <c r="D553" i="1" s="1"/>
  <c r="E553" i="1" s="1"/>
  <c r="C214" i="1"/>
  <c r="D214" i="1" s="1"/>
  <c r="E214" i="1" s="1"/>
  <c r="C412" i="1"/>
  <c r="D412" i="1" s="1"/>
  <c r="E412" i="1" s="1"/>
  <c r="C177" i="1"/>
  <c r="D177" i="1" s="1"/>
  <c r="E177" i="1" s="1"/>
  <c r="I54" i="1"/>
  <c r="I81" i="1"/>
  <c r="I70" i="1"/>
  <c r="I100" i="1"/>
  <c r="C131" i="1"/>
  <c r="D131" i="1" s="1"/>
  <c r="E131" i="1" s="1"/>
  <c r="C433" i="1"/>
  <c r="D433" i="1" s="1"/>
  <c r="E433" i="1" s="1"/>
  <c r="I57" i="1"/>
  <c r="I67" i="1"/>
  <c r="I85" i="1"/>
  <c r="I40" i="1"/>
  <c r="I83" i="1"/>
  <c r="I49" i="1"/>
  <c r="C88" i="1"/>
  <c r="D88" i="1" s="1"/>
  <c r="E88" i="1" s="1"/>
  <c r="C171" i="1"/>
  <c r="D171" i="1" s="1"/>
  <c r="E171" i="1" s="1"/>
  <c r="C134" i="1"/>
  <c r="D134" i="1" s="1"/>
  <c r="E134" i="1" s="1"/>
  <c r="C235" i="1"/>
  <c r="D235" i="1" s="1"/>
  <c r="E235" i="1" s="1"/>
  <c r="C176" i="1"/>
  <c r="D176" i="1" s="1"/>
  <c r="E176" i="1" s="1"/>
  <c r="C145" i="1"/>
  <c r="D145" i="1" s="1"/>
  <c r="E145" i="1" s="1"/>
  <c r="C69" i="1"/>
  <c r="D69" i="1" s="1"/>
  <c r="E69" i="1" s="1"/>
  <c r="C416" i="1"/>
  <c r="D416" i="1" s="1"/>
  <c r="E416" i="1" s="1"/>
  <c r="C593" i="1"/>
  <c r="D593" i="1" s="1"/>
  <c r="E593" i="1" s="1"/>
  <c r="C451" i="1"/>
  <c r="D451" i="1" s="1"/>
  <c r="E451" i="1" s="1"/>
  <c r="I107" i="1"/>
  <c r="I75" i="1"/>
  <c r="I38" i="1"/>
  <c r="I30" i="1"/>
  <c r="I47" i="1"/>
  <c r="I35" i="1"/>
  <c r="C195" i="1"/>
  <c r="D195" i="1" s="1"/>
  <c r="E195" i="1" s="1"/>
  <c r="C41" i="1"/>
  <c r="D41" i="1" s="1"/>
  <c r="E41" i="1" s="1"/>
  <c r="C224" i="1"/>
  <c r="D224" i="1" s="1"/>
  <c r="E224" i="1" s="1"/>
  <c r="C98" i="1"/>
  <c r="D98" i="1" s="1"/>
  <c r="E98" i="1" s="1"/>
  <c r="C64" i="1"/>
  <c r="D64" i="1" s="1"/>
  <c r="E64" i="1" s="1"/>
  <c r="C143" i="1"/>
  <c r="D143" i="1" s="1"/>
  <c r="E143" i="1" s="1"/>
  <c r="I104" i="1"/>
  <c r="I113" i="1"/>
  <c r="C140" i="1"/>
  <c r="D140" i="1" s="1"/>
  <c r="E140" i="1" s="1"/>
  <c r="C442" i="1"/>
  <c r="D442" i="1" s="1"/>
  <c r="E442" i="1" s="1"/>
  <c r="C535" i="1"/>
  <c r="D535" i="1" s="1"/>
  <c r="E535" i="1" s="1"/>
  <c r="C197" i="1"/>
  <c r="D197" i="1" s="1"/>
  <c r="E197" i="1" s="1"/>
  <c r="C400" i="1"/>
  <c r="D400" i="1" s="1"/>
  <c r="E400" i="1" s="1"/>
  <c r="C504" i="1"/>
  <c r="D504" i="1" s="1"/>
  <c r="E504" i="1" s="1"/>
  <c r="C608" i="1"/>
  <c r="D608" i="1" s="1"/>
  <c r="E608" i="1" s="1"/>
  <c r="C33" i="1"/>
  <c r="D33" i="1" s="1"/>
  <c r="E33" i="1" s="1"/>
  <c r="C61" i="1"/>
  <c r="D61" i="1" s="1"/>
  <c r="E61" i="1" s="1"/>
  <c r="C463" i="1"/>
  <c r="D463" i="1" s="1"/>
  <c r="E463" i="1" s="1"/>
  <c r="C548" i="1"/>
  <c r="D548" i="1" s="1"/>
  <c r="E548" i="1" s="1"/>
  <c r="C232" i="1"/>
  <c r="D232" i="1" s="1"/>
  <c r="E232" i="1" s="1"/>
  <c r="C575" i="1"/>
  <c r="D575" i="1" s="1"/>
  <c r="E575" i="1" s="1"/>
  <c r="C545" i="1"/>
  <c r="D545" i="1" s="1"/>
  <c r="E545" i="1" s="1"/>
  <c r="C365" i="1"/>
  <c r="D365" i="1" s="1"/>
  <c r="E365" i="1" s="1"/>
  <c r="C486" i="1"/>
  <c r="D486" i="1" s="1"/>
  <c r="E486" i="1" s="1"/>
  <c r="C456" i="1"/>
  <c r="D456" i="1" s="1"/>
  <c r="E456" i="1" s="1"/>
  <c r="C37" i="1"/>
  <c r="D37" i="1" s="1"/>
  <c r="E37" i="1" s="1"/>
  <c r="C163" i="1"/>
  <c r="D163" i="1" s="1"/>
  <c r="E163" i="1" s="1"/>
  <c r="C83" i="1"/>
  <c r="D83" i="1" s="1"/>
  <c r="E83" i="1" s="1"/>
  <c r="C236" i="1"/>
  <c r="D236" i="1" s="1"/>
  <c r="E236" i="1" s="1"/>
  <c r="C539" i="1"/>
  <c r="D539" i="1" s="1"/>
  <c r="E539" i="1" s="1"/>
  <c r="C596" i="1"/>
  <c r="D596" i="1" s="1"/>
  <c r="E596" i="1" s="1"/>
  <c r="C253" i="1"/>
  <c r="D253" i="1" s="1"/>
  <c r="E253" i="1" s="1"/>
  <c r="C470" i="1"/>
  <c r="D470" i="1" s="1"/>
  <c r="E470" i="1" s="1"/>
  <c r="C240" i="1"/>
  <c r="D240" i="1" s="1"/>
  <c r="E240" i="1" s="1"/>
  <c r="C438" i="1"/>
  <c r="D438" i="1" s="1"/>
  <c r="E438" i="1" s="1"/>
  <c r="C483" i="1"/>
  <c r="D483" i="1" s="1"/>
  <c r="E483" i="1" s="1"/>
  <c r="C510" i="1"/>
  <c r="D510" i="1" s="1"/>
  <c r="E510" i="1" s="1"/>
  <c r="C257" i="1"/>
  <c r="D257" i="1" s="1"/>
  <c r="E257" i="1" s="1"/>
  <c r="C258" i="1"/>
  <c r="D258" i="1" s="1"/>
  <c r="E258" i="1" s="1"/>
  <c r="C497" i="1"/>
  <c r="D497" i="1" s="1"/>
  <c r="E497" i="1" s="1"/>
  <c r="C577" i="1"/>
  <c r="D577" i="1" s="1"/>
  <c r="E577" i="1" s="1"/>
  <c r="C212" i="1"/>
  <c r="D212" i="1" s="1"/>
  <c r="E212" i="1" s="1"/>
  <c r="C222" i="1"/>
  <c r="D222" i="1" s="1"/>
  <c r="E222" i="1" s="1"/>
  <c r="C27" i="1"/>
  <c r="D27" i="1" s="1"/>
  <c r="E27" i="1" s="1"/>
  <c r="C310" i="1"/>
  <c r="D310" i="1" s="1"/>
  <c r="E310" i="1" s="1"/>
  <c r="C492" i="1"/>
  <c r="D492" i="1" s="1"/>
  <c r="E492" i="1" s="1"/>
  <c r="C196" i="1"/>
  <c r="D196" i="1" s="1"/>
  <c r="E196" i="1" s="1"/>
  <c r="C239" i="1"/>
  <c r="D239" i="1" s="1"/>
  <c r="E239" i="1" s="1"/>
  <c r="I42" i="1"/>
  <c r="I99" i="1"/>
  <c r="C457" i="1"/>
  <c r="D457" i="1" s="1"/>
  <c r="E457" i="1" s="1"/>
  <c r="C538" i="1"/>
  <c r="D538" i="1" s="1"/>
  <c r="E538" i="1" s="1"/>
  <c r="C395" i="1"/>
  <c r="D395" i="1" s="1"/>
  <c r="E395" i="1" s="1"/>
  <c r="C371" i="1"/>
  <c r="D371" i="1" s="1"/>
  <c r="E371" i="1" s="1"/>
  <c r="C425" i="1"/>
  <c r="D425" i="1" s="1"/>
  <c r="E425" i="1" s="1"/>
  <c r="C296" i="1"/>
  <c r="D296" i="1" s="1"/>
  <c r="E296" i="1" s="1"/>
  <c r="I64" i="1"/>
  <c r="C50" i="1"/>
  <c r="D50" i="1" s="1"/>
  <c r="E50" i="1" s="1"/>
  <c r="C459" i="1"/>
  <c r="D459" i="1" s="1"/>
  <c r="E459" i="1" s="1"/>
  <c r="C71" i="1"/>
  <c r="D71" i="1" s="1"/>
  <c r="E71" i="1" s="1"/>
  <c r="C68" i="1"/>
  <c r="D68" i="1" s="1"/>
  <c r="E68" i="1" s="1"/>
  <c r="C445" i="1"/>
  <c r="D445" i="1" s="1"/>
  <c r="E445" i="1" s="1"/>
  <c r="C546" i="1"/>
  <c r="D546" i="1" s="1"/>
  <c r="E546" i="1" s="1"/>
  <c r="C572" i="1"/>
  <c r="D572" i="1" s="1"/>
  <c r="E572" i="1" s="1"/>
  <c r="C360" i="1"/>
  <c r="D360" i="1" s="1"/>
  <c r="E360" i="1" s="1"/>
  <c r="C226" i="1"/>
  <c r="D226" i="1" s="1"/>
  <c r="E226" i="1" s="1"/>
  <c r="C529" i="1"/>
  <c r="D529" i="1" s="1"/>
  <c r="E529" i="1" s="1"/>
  <c r="C516" i="1"/>
  <c r="D516" i="1" s="1"/>
  <c r="E516" i="1" s="1"/>
  <c r="C289" i="1"/>
  <c r="D289" i="1" s="1"/>
  <c r="E289" i="1" s="1"/>
  <c r="C468" i="1"/>
  <c r="D468" i="1" s="1"/>
  <c r="E468" i="1" s="1"/>
  <c r="C398" i="1"/>
  <c r="D398" i="1" s="1"/>
  <c r="E398" i="1" s="1"/>
  <c r="C473" i="1"/>
  <c r="D473" i="1" s="1"/>
  <c r="E473" i="1" s="1"/>
  <c r="C97" i="1"/>
  <c r="D97" i="1" s="1"/>
  <c r="E97" i="1" s="1"/>
  <c r="C474" i="1"/>
  <c r="D474" i="1" s="1"/>
  <c r="E474" i="1" s="1"/>
  <c r="C455" i="1"/>
  <c r="D455" i="1" s="1"/>
  <c r="E455" i="1" s="1"/>
  <c r="C81" i="1"/>
  <c r="D81" i="1" s="1"/>
  <c r="E81" i="1" s="1"/>
  <c r="C515" i="1"/>
  <c r="D515" i="1" s="1"/>
  <c r="E515" i="1" s="1"/>
  <c r="C441" i="1"/>
  <c r="D441" i="1" s="1"/>
  <c r="E441" i="1" s="1"/>
  <c r="C506" i="1"/>
  <c r="D506" i="1" s="1"/>
  <c r="E506" i="1" s="1"/>
  <c r="C475" i="1"/>
  <c r="D475" i="1" s="1"/>
  <c r="E475" i="1" s="1"/>
  <c r="C388" i="1"/>
  <c r="D388" i="1" s="1"/>
  <c r="E388" i="1" s="1"/>
  <c r="C104" i="1"/>
  <c r="D104" i="1" s="1"/>
  <c r="E104" i="1" s="1"/>
  <c r="C291" i="1"/>
  <c r="D291" i="1" s="1"/>
  <c r="E291" i="1" s="1"/>
  <c r="C156" i="1"/>
  <c r="D156" i="1" s="1"/>
  <c r="E156" i="1" s="1"/>
  <c r="C295" i="1"/>
  <c r="D295" i="1" s="1"/>
  <c r="E295" i="1" s="1"/>
  <c r="C519" i="1"/>
  <c r="D519" i="1" s="1"/>
  <c r="E519" i="1" s="1"/>
  <c r="C309" i="1"/>
  <c r="D309" i="1" s="1"/>
  <c r="E309" i="1" s="1"/>
  <c r="C340" i="1"/>
  <c r="D340" i="1" s="1"/>
  <c r="E340" i="1" s="1"/>
  <c r="C550" i="1"/>
  <c r="D550" i="1" s="1"/>
  <c r="E550" i="1" s="1"/>
  <c r="C599" i="1"/>
  <c r="D599" i="1" s="1"/>
  <c r="E599" i="1" s="1"/>
  <c r="C461" i="1"/>
  <c r="D461" i="1" s="1"/>
  <c r="E461" i="1" s="1"/>
  <c r="C349" i="1"/>
  <c r="D349" i="1" s="1"/>
  <c r="E349" i="1" s="1"/>
  <c r="I79" i="1"/>
  <c r="I89" i="1"/>
  <c r="C161" i="1"/>
  <c r="D161" i="1" s="1"/>
  <c r="E161" i="1" s="1"/>
  <c r="C238" i="1"/>
  <c r="D238" i="1" s="1"/>
  <c r="E238" i="1" s="1"/>
  <c r="C153" i="1"/>
  <c r="D153" i="1" s="1"/>
  <c r="E153" i="1" s="1"/>
  <c r="C424" i="1"/>
  <c r="D424" i="1" s="1"/>
  <c r="E424" i="1" s="1"/>
  <c r="C557" i="1"/>
  <c r="D557" i="1" s="1"/>
  <c r="E557" i="1" s="1"/>
  <c r="C481" i="1"/>
  <c r="D481" i="1" s="1"/>
  <c r="E481" i="1" s="1"/>
  <c r="C358" i="1"/>
  <c r="D358" i="1" s="1"/>
  <c r="E358" i="1" s="1"/>
  <c r="C375" i="1"/>
  <c r="D375" i="1" s="1"/>
  <c r="E375" i="1" s="1"/>
  <c r="C531" i="1"/>
  <c r="D531" i="1" s="1"/>
  <c r="E531" i="1" s="1"/>
  <c r="C181" i="1"/>
  <c r="D181" i="1" s="1"/>
  <c r="E181" i="1" s="1"/>
  <c r="C435" i="1"/>
  <c r="D435" i="1" s="1"/>
  <c r="E435" i="1" s="1"/>
  <c r="C290" i="1"/>
  <c r="D290" i="1" s="1"/>
  <c r="E290" i="1" s="1"/>
  <c r="C120" i="1"/>
  <c r="D120" i="1" s="1"/>
  <c r="E120" i="1" s="1"/>
  <c r="C494" i="1"/>
  <c r="D494" i="1" s="1"/>
  <c r="E494" i="1" s="1"/>
  <c r="C402" i="1"/>
  <c r="D402" i="1" s="1"/>
  <c r="E402" i="1" s="1"/>
  <c r="C383" i="1"/>
  <c r="D383" i="1" s="1"/>
  <c r="E383" i="1" s="1"/>
  <c r="C325" i="1"/>
  <c r="D325" i="1" s="1"/>
  <c r="E325" i="1" s="1"/>
  <c r="C231" i="1"/>
  <c r="D231" i="1" s="1"/>
  <c r="E231" i="1" s="1"/>
  <c r="C184" i="1"/>
  <c r="D184" i="1" s="1"/>
  <c r="E184" i="1" s="1"/>
  <c r="C215" i="1"/>
  <c r="D215" i="1" s="1"/>
  <c r="E215" i="1" s="1"/>
  <c r="C503" i="1"/>
  <c r="D503" i="1" s="1"/>
  <c r="E503" i="1" s="1"/>
  <c r="C276" i="1"/>
  <c r="D276" i="1" s="1"/>
  <c r="E276" i="1" s="1"/>
  <c r="C243" i="1"/>
  <c r="D243" i="1" s="1"/>
  <c r="E243" i="1" s="1"/>
  <c r="C505" i="1"/>
  <c r="D505" i="1" s="1"/>
  <c r="E505" i="1" s="1"/>
  <c r="C101" i="1"/>
  <c r="D101" i="1" s="1"/>
  <c r="E101" i="1" s="1"/>
  <c r="C491" i="1"/>
  <c r="D491" i="1" s="1"/>
  <c r="E491" i="1" s="1"/>
  <c r="C87" i="1"/>
  <c r="D87" i="1" s="1"/>
  <c r="E87" i="1" s="1"/>
  <c r="C612" i="1"/>
  <c r="D612" i="1" s="1"/>
  <c r="E612" i="1" s="1"/>
  <c r="C418" i="1"/>
  <c r="D418" i="1" s="1"/>
  <c r="E418" i="1" s="1"/>
  <c r="C211" i="1"/>
  <c r="D211" i="1" s="1"/>
  <c r="E211" i="1" s="1"/>
  <c r="C589" i="1"/>
  <c r="D589" i="1" s="1"/>
  <c r="E589" i="1" s="1"/>
  <c r="C408" i="1"/>
  <c r="D408" i="1" s="1"/>
  <c r="E408" i="1" s="1"/>
  <c r="C578" i="1"/>
  <c r="D578" i="1" s="1"/>
  <c r="E578" i="1" s="1"/>
  <c r="C136" i="1"/>
  <c r="D136" i="1" s="1"/>
  <c r="E136" i="1" s="1"/>
  <c r="C315" i="1"/>
  <c r="D315" i="1" s="1"/>
  <c r="E315" i="1" s="1"/>
  <c r="C79" i="1"/>
  <c r="D79" i="1" s="1"/>
  <c r="E79" i="1" s="1"/>
  <c r="C355" i="1"/>
  <c r="D355" i="1" s="1"/>
  <c r="E355" i="1" s="1"/>
  <c r="C613" i="1"/>
  <c r="D613" i="1" s="1"/>
  <c r="E613" i="1" s="1"/>
  <c r="C208" i="1"/>
  <c r="D208" i="1" s="1"/>
  <c r="E208" i="1" s="1"/>
  <c r="C58" i="1"/>
  <c r="D58" i="1" s="1"/>
  <c r="E58" i="1" s="1"/>
  <c r="C216" i="1"/>
  <c r="D216" i="1" s="1"/>
  <c r="E216" i="1" s="1"/>
  <c r="I28" i="1"/>
  <c r="C127" i="1"/>
  <c r="D127" i="1" s="1"/>
  <c r="E127" i="1" s="1"/>
  <c r="C201" i="1"/>
  <c r="D201" i="1" s="1"/>
  <c r="E201" i="1" s="1"/>
  <c r="C165" i="1"/>
  <c r="D165" i="1" s="1"/>
  <c r="E165" i="1" s="1"/>
  <c r="C149" i="1"/>
  <c r="D149" i="1" s="1"/>
  <c r="E149" i="1" s="1"/>
  <c r="C447" i="1"/>
  <c r="D447" i="1" s="1"/>
  <c r="E447" i="1" s="1"/>
  <c r="C387" i="1"/>
  <c r="D387" i="1" s="1"/>
  <c r="E387" i="1" s="1"/>
  <c r="C348" i="1"/>
  <c r="D348" i="1" s="1"/>
  <c r="E348" i="1" s="1"/>
  <c r="C573" i="1"/>
  <c r="D573" i="1" s="1"/>
  <c r="E573" i="1" s="1"/>
  <c r="C419" i="1"/>
  <c r="D419" i="1" s="1"/>
  <c r="E419" i="1" s="1"/>
  <c r="C117" i="1"/>
  <c r="D117" i="1" s="1"/>
  <c r="E117" i="1" s="1"/>
  <c r="C583" i="1"/>
  <c r="D583" i="1" s="1"/>
  <c r="E583" i="1" s="1"/>
  <c r="C343" i="1"/>
  <c r="D343" i="1" s="1"/>
  <c r="E343" i="1" s="1"/>
  <c r="C369" i="1"/>
  <c r="D369" i="1" s="1"/>
  <c r="E369" i="1" s="1"/>
  <c r="C363" i="1"/>
  <c r="D363" i="1" s="1"/>
  <c r="E363" i="1" s="1"/>
  <c r="C108" i="1"/>
  <c r="D108" i="1" s="1"/>
  <c r="E108" i="1" s="1"/>
  <c r="C241" i="1"/>
  <c r="D241" i="1" s="1"/>
  <c r="E241" i="1" s="1"/>
  <c r="C563" i="1"/>
  <c r="D563" i="1" s="1"/>
  <c r="E563" i="1" s="1"/>
  <c r="C540" i="1"/>
  <c r="D540" i="1" s="1"/>
  <c r="E540" i="1" s="1"/>
  <c r="C428" i="1"/>
  <c r="D428" i="1" s="1"/>
  <c r="E428" i="1" s="1"/>
  <c r="C182" i="1"/>
  <c r="D182" i="1" s="1"/>
  <c r="E182" i="1" s="1"/>
  <c r="C512" i="1"/>
  <c r="D512" i="1" s="1"/>
  <c r="E512" i="1" s="1"/>
  <c r="C321" i="1"/>
  <c r="D321" i="1" s="1"/>
  <c r="E321" i="1" s="1"/>
  <c r="C530" i="1"/>
  <c r="D530" i="1" s="1"/>
  <c r="E530" i="1" s="1"/>
  <c r="C307" i="1"/>
  <c r="D307" i="1" s="1"/>
  <c r="E307" i="1" s="1"/>
  <c r="C262" i="1"/>
  <c r="D262" i="1" s="1"/>
  <c r="E262" i="1" s="1"/>
  <c r="C207" i="1"/>
  <c r="D207" i="1" s="1"/>
  <c r="E207" i="1" s="1"/>
  <c r="C190" i="1"/>
  <c r="D190" i="1" s="1"/>
  <c r="E190" i="1" s="1"/>
  <c r="C267" i="1"/>
  <c r="D267" i="1" s="1"/>
  <c r="E267" i="1" s="1"/>
  <c r="C417" i="1"/>
  <c r="D417" i="1" s="1"/>
  <c r="E417" i="1" s="1"/>
  <c r="C570" i="1"/>
  <c r="D570" i="1" s="1"/>
  <c r="E570" i="1" s="1"/>
  <c r="C346" i="1"/>
  <c r="D346" i="1" s="1"/>
  <c r="E346" i="1" s="1"/>
  <c r="C275" i="1"/>
  <c r="D275" i="1" s="1"/>
  <c r="E275" i="1" s="1"/>
  <c r="C594" i="1"/>
  <c r="D594" i="1" s="1"/>
  <c r="E594" i="1" s="1"/>
  <c r="C421" i="1"/>
  <c r="D421" i="1" s="1"/>
  <c r="E421" i="1" s="1"/>
  <c r="C562" i="1"/>
  <c r="D562" i="1" s="1"/>
  <c r="E562" i="1" s="1"/>
  <c r="C12" i="1"/>
  <c r="I120" i="1"/>
  <c r="I93" i="1"/>
  <c r="C230" i="1"/>
  <c r="D230" i="1" s="1"/>
  <c r="E230" i="1" s="1"/>
  <c r="C192" i="1"/>
  <c r="D192" i="1" s="1"/>
  <c r="E192" i="1" s="1"/>
  <c r="C476" i="1"/>
  <c r="D476" i="1" s="1"/>
  <c r="E476" i="1" s="1"/>
  <c r="C111" i="1"/>
  <c r="D111" i="1" s="1"/>
  <c r="E111" i="1" s="1"/>
  <c r="C283" i="1"/>
  <c r="D283" i="1" s="1"/>
  <c r="E283" i="1" s="1"/>
  <c r="C233" i="1"/>
  <c r="D233" i="1" s="1"/>
  <c r="E233" i="1" s="1"/>
  <c r="C555" i="1"/>
  <c r="D555" i="1" s="1"/>
  <c r="E555" i="1" s="1"/>
  <c r="C581" i="1"/>
  <c r="D581" i="1" s="1"/>
  <c r="E581" i="1" s="1"/>
  <c r="C549" i="1"/>
  <c r="D549" i="1" s="1"/>
  <c r="E549" i="1" s="1"/>
  <c r="C532" i="1"/>
  <c r="D532" i="1" s="1"/>
  <c r="E532" i="1" s="1"/>
  <c r="C484" i="1"/>
  <c r="D484" i="1" s="1"/>
  <c r="E484" i="1" s="1"/>
  <c r="C499" i="1"/>
  <c r="D499" i="1" s="1"/>
  <c r="E499" i="1" s="1"/>
  <c r="C242" i="1"/>
  <c r="D242" i="1" s="1"/>
  <c r="E242" i="1" s="1"/>
  <c r="C142" i="1"/>
  <c r="D142" i="1" s="1"/>
  <c r="E142" i="1" s="1"/>
  <c r="C268" i="1"/>
  <c r="D268" i="1" s="1"/>
  <c r="E268" i="1" s="1"/>
  <c r="C527" i="1"/>
  <c r="D527" i="1" s="1"/>
  <c r="E527" i="1" s="1"/>
  <c r="C379" i="1"/>
  <c r="D379" i="1" s="1"/>
  <c r="E379" i="1" s="1"/>
  <c r="C270" i="1"/>
  <c r="D270" i="1" s="1"/>
  <c r="E270" i="1" s="1"/>
  <c r="C478" i="1"/>
  <c r="D478" i="1" s="1"/>
  <c r="E478" i="1" s="1"/>
  <c r="C342" i="1"/>
  <c r="D342" i="1" s="1"/>
  <c r="E342" i="1" s="1"/>
  <c r="C318" i="1"/>
  <c r="D318" i="1" s="1"/>
  <c r="E318" i="1" s="1"/>
  <c r="C564" i="1"/>
  <c r="D564" i="1" s="1"/>
  <c r="E564" i="1" s="1"/>
  <c r="C125" i="1"/>
  <c r="D125" i="1" s="1"/>
  <c r="E125" i="1" s="1"/>
  <c r="C48" i="1"/>
  <c r="D48" i="1" s="1"/>
  <c r="E48" i="1" s="1"/>
  <c r="C52" i="1"/>
  <c r="D52" i="1" s="1"/>
  <c r="E52" i="1" s="1"/>
  <c r="C251" i="1"/>
  <c r="D251" i="1" s="1"/>
  <c r="E251" i="1" s="1"/>
  <c r="C601" i="1"/>
  <c r="D601" i="1" s="1"/>
  <c r="E601" i="1" s="1"/>
  <c r="C374" i="1"/>
  <c r="D374" i="1" s="1"/>
  <c r="E374" i="1" s="1"/>
  <c r="C547" i="1"/>
  <c r="D547" i="1" s="1"/>
  <c r="E547" i="1" s="1"/>
  <c r="C454" i="1"/>
  <c r="D454" i="1" s="1"/>
  <c r="E454" i="1" s="1"/>
  <c r="C565" i="1"/>
  <c r="D565" i="1" s="1"/>
  <c r="E565" i="1" s="1"/>
  <c r="C558" i="1"/>
  <c r="D558" i="1" s="1"/>
  <c r="E558" i="1" s="1"/>
  <c r="C210" i="1"/>
  <c r="D210" i="1" s="1"/>
  <c r="E210" i="1" s="1"/>
  <c r="C252" i="1"/>
  <c r="D252" i="1" s="1"/>
  <c r="E252" i="1" s="1"/>
  <c r="C525" i="1"/>
  <c r="D525" i="1" s="1"/>
  <c r="E525" i="1" s="1"/>
  <c r="C359" i="1"/>
  <c r="D359" i="1" s="1"/>
  <c r="E359" i="1" s="1"/>
  <c r="C616" i="1"/>
  <c r="D616" i="1" s="1"/>
  <c r="E616" i="1" s="1"/>
  <c r="C480" i="1"/>
  <c r="D480" i="1" s="1"/>
  <c r="E480" i="1" s="1"/>
  <c r="C437" i="1"/>
  <c r="D437" i="1" s="1"/>
  <c r="E437" i="1" s="1"/>
  <c r="C528" i="1"/>
  <c r="D528" i="1" s="1"/>
  <c r="E528" i="1" s="1"/>
  <c r="I65" i="1"/>
  <c r="C167" i="1"/>
  <c r="D167" i="1" s="1"/>
  <c r="E167" i="1" s="1"/>
  <c r="C266" i="1"/>
  <c r="D266" i="1" s="1"/>
  <c r="E266" i="1" s="1"/>
  <c r="C274" i="1"/>
  <c r="D274" i="1" s="1"/>
  <c r="E274" i="1" s="1"/>
  <c r="C256" i="1"/>
  <c r="D256" i="1" s="1"/>
  <c r="E256" i="1" s="1"/>
  <c r="C517" i="1"/>
  <c r="D517" i="1" s="1"/>
  <c r="E517" i="1" s="1"/>
  <c r="C54" i="1"/>
  <c r="D54" i="1" s="1"/>
  <c r="E54" i="1" s="1"/>
  <c r="C312" i="1"/>
  <c r="D312" i="1" s="1"/>
  <c r="E312" i="1" s="1"/>
  <c r="C420" i="1"/>
  <c r="D420" i="1" s="1"/>
  <c r="E420" i="1" s="1"/>
  <c r="C537" i="1"/>
  <c r="D537" i="1" s="1"/>
  <c r="E537" i="1" s="1"/>
  <c r="C542" i="1"/>
  <c r="D542" i="1" s="1"/>
  <c r="E542" i="1" s="1"/>
  <c r="C584" i="1"/>
  <c r="D584" i="1" s="1"/>
  <c r="E584" i="1" s="1"/>
  <c r="C198" i="1"/>
  <c r="D198" i="1" s="1"/>
  <c r="E198" i="1" s="1"/>
  <c r="C361" i="1"/>
  <c r="D361" i="1" s="1"/>
  <c r="E361" i="1" s="1"/>
  <c r="C472" i="1"/>
  <c r="D472" i="1" s="1"/>
  <c r="E472" i="1" s="1"/>
  <c r="C286" i="1"/>
  <c r="D286" i="1" s="1"/>
  <c r="E286" i="1" s="1"/>
  <c r="C187" i="1"/>
  <c r="D187" i="1" s="1"/>
  <c r="E187" i="1" s="1"/>
  <c r="C409" i="1"/>
  <c r="D409" i="1" s="1"/>
  <c r="E409" i="1" s="1"/>
  <c r="C44" i="1"/>
  <c r="D44" i="1" s="1"/>
  <c r="E44" i="1" s="1"/>
  <c r="C429" i="1"/>
  <c r="D429" i="1" s="1"/>
  <c r="E429" i="1" s="1"/>
  <c r="C464" i="1"/>
  <c r="D464" i="1" s="1"/>
  <c r="E464" i="1" s="1"/>
  <c r="C261" i="1"/>
  <c r="D261" i="1" s="1"/>
  <c r="E261" i="1" s="1"/>
  <c r="C345" i="1"/>
  <c r="D345" i="1" s="1"/>
  <c r="E345" i="1" s="1"/>
  <c r="C155" i="1"/>
  <c r="D155" i="1" s="1"/>
  <c r="E155" i="1" s="1"/>
  <c r="C234" i="1"/>
  <c r="D234" i="1" s="1"/>
  <c r="E234" i="1" s="1"/>
  <c r="C536" i="1"/>
  <c r="D536" i="1" s="1"/>
  <c r="E536" i="1" s="1"/>
  <c r="C625" i="1"/>
  <c r="D625" i="1" s="1"/>
  <c r="E625" i="1" s="1"/>
  <c r="C561" i="1"/>
  <c r="D561" i="1" s="1"/>
  <c r="E561" i="1" s="1"/>
  <c r="C300" i="1"/>
  <c r="D300" i="1" s="1"/>
  <c r="E300" i="1" s="1"/>
  <c r="C598" i="1"/>
  <c r="D598" i="1" s="1"/>
  <c r="E598" i="1" s="1"/>
  <c r="C430" i="1"/>
  <c r="D430" i="1" s="1"/>
  <c r="E430" i="1" s="1"/>
  <c r="I37" i="1"/>
  <c r="C67" i="1"/>
  <c r="D67" i="1" s="1"/>
  <c r="E67" i="1" s="1"/>
  <c r="C414" i="1"/>
  <c r="D414" i="1" s="1"/>
  <c r="E414" i="1" s="1"/>
  <c r="I123" i="1"/>
  <c r="C372" i="1"/>
  <c r="D372" i="1" s="1"/>
  <c r="E372" i="1" s="1"/>
  <c r="C40" i="1"/>
  <c r="D40" i="1" s="1"/>
  <c r="E40" i="1" s="1"/>
  <c r="C477" i="1"/>
  <c r="D477" i="1" s="1"/>
  <c r="E477" i="1" s="1"/>
  <c r="C508" i="1"/>
  <c r="D508" i="1" s="1"/>
  <c r="E508" i="1" s="1"/>
  <c r="C410" i="1"/>
  <c r="D410" i="1" s="1"/>
  <c r="E410" i="1" s="1"/>
  <c r="C55" i="1"/>
  <c r="D55" i="1" s="1"/>
  <c r="E55" i="1" s="1"/>
  <c r="C490" i="1"/>
  <c r="D490" i="1" s="1"/>
  <c r="E490" i="1" s="1"/>
  <c r="C107" i="1"/>
  <c r="D107" i="1" s="1"/>
  <c r="E107" i="1" s="1"/>
  <c r="C453" i="1"/>
  <c r="D453" i="1" s="1"/>
  <c r="E453" i="1" s="1"/>
  <c r="C460" i="1"/>
  <c r="D460" i="1" s="1"/>
  <c r="E460" i="1" s="1"/>
  <c r="C498" i="1"/>
  <c r="D498" i="1" s="1"/>
  <c r="E498" i="1" s="1"/>
  <c r="C471" i="1"/>
  <c r="D471" i="1" s="1"/>
  <c r="E471" i="1" s="1"/>
  <c r="C591" i="1"/>
  <c r="D591" i="1" s="1"/>
  <c r="E591" i="1" s="1"/>
  <c r="C587" i="1"/>
  <c r="D587" i="1" s="1"/>
  <c r="E587" i="1" s="1"/>
  <c r="C193" i="1"/>
  <c r="D193" i="1" s="1"/>
  <c r="E193" i="1" s="1"/>
  <c r="C582" i="1"/>
  <c r="D582" i="1" s="1"/>
  <c r="E582" i="1" s="1"/>
  <c r="C520" i="1"/>
  <c r="D520" i="1" s="1"/>
  <c r="E520" i="1" s="1"/>
  <c r="C128" i="1"/>
  <c r="D128" i="1" s="1"/>
  <c r="E128" i="1" s="1"/>
  <c r="C488" i="1"/>
  <c r="D488" i="1" s="1"/>
  <c r="E488" i="1" s="1"/>
  <c r="C62" i="1"/>
  <c r="D62" i="1" s="1"/>
  <c r="E62" i="1" s="1"/>
  <c r="C458" i="1"/>
  <c r="D458" i="1" s="1"/>
  <c r="E458" i="1" s="1"/>
  <c r="C323" i="1"/>
  <c r="D323" i="1" s="1"/>
  <c r="E323" i="1" s="1"/>
  <c r="C132" i="1"/>
  <c r="D132" i="1" s="1"/>
  <c r="E132" i="1" s="1"/>
  <c r="C496" i="1"/>
  <c r="D496" i="1" s="1"/>
  <c r="E496" i="1" s="1"/>
  <c r="C223" i="1"/>
  <c r="D223" i="1" s="1"/>
  <c r="E223" i="1" s="1"/>
  <c r="C422" i="1"/>
  <c r="D422" i="1" s="1"/>
  <c r="E422" i="1" s="1"/>
  <c r="C467" i="1"/>
  <c r="D467" i="1" s="1"/>
  <c r="E467" i="1" s="1"/>
  <c r="C485" i="1"/>
  <c r="D485" i="1" s="1"/>
  <c r="E485" i="1" s="1"/>
  <c r="C621" i="1"/>
  <c r="D621" i="1" s="1"/>
  <c r="E621" i="1" s="1"/>
  <c r="C382" i="1"/>
  <c r="D382" i="1" s="1"/>
  <c r="E382" i="1" s="1"/>
  <c r="C588" i="1"/>
  <c r="D588" i="1" s="1"/>
  <c r="E588" i="1" s="1"/>
  <c r="C407" i="1"/>
  <c r="D407" i="1" s="1"/>
  <c r="E407" i="1" s="1"/>
  <c r="C353" i="1"/>
  <c r="D353" i="1" s="1"/>
  <c r="E353" i="1" s="1"/>
  <c r="C500" i="1"/>
  <c r="D500" i="1" s="1"/>
  <c r="E500" i="1" s="1"/>
  <c r="C77" i="1"/>
  <c r="D77" i="1" s="1"/>
  <c r="E77" i="1" s="1"/>
  <c r="C102" i="1"/>
  <c r="D102" i="1" s="1"/>
  <c r="E102" i="1" s="1"/>
  <c r="C314" i="1"/>
  <c r="D314" i="1" s="1"/>
  <c r="E314" i="1" s="1"/>
  <c r="C501" i="1"/>
  <c r="D501" i="1" s="1"/>
  <c r="E501" i="1" s="1"/>
  <c r="C122" i="1"/>
  <c r="D122" i="1" s="1"/>
  <c r="E122" i="1" s="1"/>
  <c r="C129" i="1"/>
  <c r="D129" i="1" s="1"/>
  <c r="E129" i="1" s="1"/>
  <c r="C73" i="1"/>
  <c r="D73" i="1" s="1"/>
  <c r="E73" i="1" s="1"/>
  <c r="C34" i="1"/>
  <c r="D34" i="1" s="1"/>
  <c r="E34" i="1" s="1"/>
  <c r="C522" i="1"/>
  <c r="D522" i="1" s="1"/>
  <c r="E522" i="1" s="1"/>
  <c r="C273" i="1"/>
  <c r="D273" i="1" s="1"/>
  <c r="E273" i="1" s="1"/>
  <c r="C194" i="1"/>
  <c r="D194" i="1" s="1"/>
  <c r="E194" i="1" s="1"/>
  <c r="C202" i="1"/>
  <c r="D202" i="1" s="1"/>
  <c r="E202" i="1" s="1"/>
  <c r="C80" i="1"/>
  <c r="D80" i="1" s="1"/>
  <c r="E80" i="1" s="1"/>
  <c r="C260" i="1"/>
  <c r="D260" i="1" s="1"/>
  <c r="E260" i="1" s="1"/>
  <c r="C47" i="1"/>
  <c r="D47" i="1" s="1"/>
  <c r="E47" i="1" s="1"/>
  <c r="C495" i="1"/>
  <c r="D495" i="1" s="1"/>
  <c r="E495" i="1" s="1"/>
  <c r="C502" i="1"/>
  <c r="D502" i="1" s="1"/>
  <c r="E502" i="1" s="1"/>
</calcChain>
</file>

<file path=xl/sharedStrings.xml><?xml version="1.0" encoding="utf-8"?>
<sst xmlns="http://schemas.openxmlformats.org/spreadsheetml/2006/main" count="37" uniqueCount="29">
  <si>
    <t>S</t>
  </si>
  <si>
    <t>K</t>
  </si>
  <si>
    <t>T</t>
  </si>
  <si>
    <t>sigma</t>
  </si>
  <si>
    <t>r</t>
  </si>
  <si>
    <t>delta</t>
  </si>
  <si>
    <t>Price</t>
  </si>
  <si>
    <t>gamma</t>
  </si>
  <si>
    <t>vega</t>
  </si>
  <si>
    <t>rho</t>
  </si>
  <si>
    <t>theta</t>
  </si>
  <si>
    <t>speed</t>
  </si>
  <si>
    <t>charm</t>
  </si>
  <si>
    <t>colour</t>
  </si>
  <si>
    <t>rho dividend</t>
  </si>
  <si>
    <t>C</t>
  </si>
  <si>
    <t>P</t>
  </si>
  <si>
    <t>vanna</t>
  </si>
  <si>
    <t>volga</t>
  </si>
  <si>
    <t>Time value</t>
  </si>
  <si>
    <t>Intrinsic value (payoff)</t>
  </si>
  <si>
    <t>First order</t>
  </si>
  <si>
    <t>Second order</t>
  </si>
  <si>
    <t>Third order</t>
  </si>
  <si>
    <t>q</t>
  </si>
  <si>
    <t>Risk free rate</t>
  </si>
  <si>
    <t>Dividend rate</t>
  </si>
  <si>
    <t>c</t>
  </si>
  <si>
    <t>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</si>
</sst>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0000000000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164" fontId="0" fillId="2" borderId="0" xfId="0" applyNumberFormat="1" applyFill="1"/>
    <xf numFmtId="165" fontId="0" fillId="2" borderId="0" xfId="0" applyNumberFormat="1" applyFill="1"/>
    <xf numFmtId="164" fontId="0" fillId="3" borderId="0" xfId="0" applyNumberFormat="1" applyFill="1"/>
    <xf numFmtId="166" fontId="0" fillId="3" borderId="0" xfId="0" applyNumberFormat="1" applyFill="1"/>
    <xf numFmtId="0" fontId="0" fillId="3" borderId="0" xfId="0" applyFill="1"/>
    <xf numFmtId="166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8F0A1-0B71-4E39-AF51-E3E8AB4040E8}">
  <sheetPr codeName="Sheet1"/>
  <dimension ref="A1:R626"/>
  <sheetViews>
    <sheetView tabSelected="1" workbookViewId="0">
      <selection activeCell="N12" sqref="N12"/>
    </sheetView>
  </sheetViews>
  <sheetFormatPr defaultRowHeight="15" x14ac:dyDescent="0.25"/>
  <cols>
    <col min="1" max="1" width="21.42578125" bestFit="1" customWidth="1"/>
    <col min="2" max="3" width="18.85546875" bestFit="1" customWidth="1"/>
    <col min="5" max="5" width="18.85546875" bestFit="1" customWidth="1"/>
  </cols>
  <sheetData>
    <row r="1" spans="1:3" x14ac:dyDescent="0.25">
      <c r="A1" t="s">
        <v>0</v>
      </c>
      <c r="B1">
        <v>300</v>
      </c>
    </row>
    <row r="2" spans="1:3" x14ac:dyDescent="0.25">
      <c r="A2" t="s">
        <v>1</v>
      </c>
      <c r="B2">
        <v>200</v>
      </c>
    </row>
    <row r="3" spans="1:3" x14ac:dyDescent="0.25">
      <c r="A3" t="s">
        <v>2</v>
      </c>
      <c r="B3">
        <v>5</v>
      </c>
    </row>
    <row r="4" spans="1:3" x14ac:dyDescent="0.25">
      <c r="A4" t="s">
        <v>3</v>
      </c>
      <c r="B4" s="1">
        <v>0.2</v>
      </c>
    </row>
    <row r="5" spans="1:3" x14ac:dyDescent="0.25">
      <c r="A5" t="s">
        <v>4</v>
      </c>
      <c r="B5" s="1">
        <v>0.03</v>
      </c>
    </row>
    <row r="6" spans="1:3" x14ac:dyDescent="0.25">
      <c r="A6" t="s">
        <v>24</v>
      </c>
      <c r="B6" s="1">
        <v>0.02</v>
      </c>
    </row>
    <row r="9" spans="1:3" x14ac:dyDescent="0.25">
      <c r="B9" t="s">
        <v>15</v>
      </c>
      <c r="C9" t="s">
        <v>16</v>
      </c>
    </row>
    <row r="10" spans="1:3" x14ac:dyDescent="0.25">
      <c r="A10" t="s">
        <v>6</v>
      </c>
      <c r="B10" s="2">
        <f>black_scholes_price($B$1,$B$2,$B$3,$B$4,$B$5,$B$6,B$9)</f>
        <v>106.96190096943187</v>
      </c>
      <c r="C10" s="2">
        <f>black_scholes_price($B$1,$B$2,$B$3,$B$4,$B$5,$B$6,C$9)</f>
        <v>7.6522708436555789</v>
      </c>
    </row>
    <row r="11" spans="1:3" x14ac:dyDescent="0.25">
      <c r="A11" t="s">
        <v>20</v>
      </c>
      <c r="B11" s="2">
        <f>black_scholes_payoff($B$1,$B$2,B$9)</f>
        <v>100</v>
      </c>
      <c r="C11" s="2">
        <f>black_scholes_payoff($B$1,$B$2,C$9)</f>
        <v>0</v>
      </c>
    </row>
    <row r="12" spans="1:3" x14ac:dyDescent="0.25">
      <c r="A12" t="s">
        <v>19</v>
      </c>
      <c r="B12" s="2">
        <f>B10-B11</f>
        <v>6.9619009694318663</v>
      </c>
      <c r="C12" s="2">
        <f>C10-C11</f>
        <v>7.6522708436555789</v>
      </c>
    </row>
    <row r="13" spans="1:3" x14ac:dyDescent="0.25">
      <c r="A13" t="s">
        <v>5</v>
      </c>
      <c r="B13" s="2">
        <f>black_scholes_delta($B$1,$B$2,$B$3,$B$4,$B$5,$B$6,B$9)</f>
        <v>0.80792242716169271</v>
      </c>
      <c r="C13" s="2">
        <f>black_scholes_delta($B$1,$B$2,$B$3,$B$4,$B$5,$B$6,C$9)</f>
        <v>-9.6914990874266776E-2</v>
      </c>
    </row>
    <row r="14" spans="1:3" x14ac:dyDescent="0.25">
      <c r="A14" t="s">
        <v>7</v>
      </c>
      <c r="B14" s="4">
        <f>black_scholes_gamma($B$1,$B$2,$B$3,$B$4,$B$5,$B$6,B$9)</f>
        <v>1.2440839942413637E-3</v>
      </c>
      <c r="C14" s="4">
        <f>black_scholes_gamma($B$1,$B$2,$B$3,$B$4,$B$5,$B$6,C$9)</f>
        <v>1.2440839942413637E-3</v>
      </c>
    </row>
    <row r="15" spans="1:3" x14ac:dyDescent="0.25">
      <c r="A15" t="s">
        <v>8</v>
      </c>
      <c r="B15" s="2">
        <f>black_scholes_vega($B$1,$B$2,$B$3,$B$4,$B$5,$B$6,B$9)</f>
        <v>111.96755948172274</v>
      </c>
      <c r="C15" s="4">
        <f>black_scholes_vega($B$1,$B$2,$B$3,$B$4,$B$5,$B$6,C$9)</f>
        <v>111.96755948172274</v>
      </c>
    </row>
    <row r="16" spans="1:3" x14ac:dyDescent="0.25">
      <c r="A16" t="s">
        <v>9</v>
      </c>
      <c r="B16" s="3">
        <f>black_scholes_rho($B$1,$B$2,$B$3,$B$4,$B$5,$B$6,B$9)</f>
        <v>677.07413589537987</v>
      </c>
      <c r="C16" s="3">
        <f>black_scholes_rho($B$1,$B$2,$B$3,$B$4,$B$5,$B$6,C$9)</f>
        <v>-183.63384052967805</v>
      </c>
    </row>
    <row r="17" spans="1:18" x14ac:dyDescent="0.25">
      <c r="A17" t="s">
        <v>14</v>
      </c>
      <c r="B17" s="3">
        <f>black_scholes_rho_dividend($B$1,$B$2,$B$3,$B$4,$B$5,$B$6,B$9)</f>
        <v>-1211.883640742539</v>
      </c>
      <c r="C17" s="3">
        <f>black_scholes_rho_dividend($B$1,$B$2,$B$3,$B$4,$B$5,$B$6,C$9)</f>
        <v>145.37248631140017</v>
      </c>
    </row>
    <row r="18" spans="1:18" x14ac:dyDescent="0.25">
      <c r="A18" t="s">
        <v>10</v>
      </c>
      <c r="B18" s="5">
        <f>black_scholes_theta($B$1,$B$2,$B$3,$B$4,$B$5,$B$6,B$9)</f>
        <v>-1.4542614420365769</v>
      </c>
      <c r="C18" s="6">
        <f>black_scholes_theta($B$1,$B$2,$B$3,$B$4,$B$5,$B$6,C$9)</f>
        <v>-1.7190380917019872</v>
      </c>
    </row>
    <row r="19" spans="1:18" x14ac:dyDescent="0.25">
      <c r="A19" t="s">
        <v>11</v>
      </c>
      <c r="B19" s="5">
        <f>black_scholes_speed($B$1,$B$2,$B$3,$B$4,$B$5,$B$6,B$9)</f>
        <v>-1.5664367486753143E-5</v>
      </c>
      <c r="C19" s="5">
        <f>black_scholes_speed($B$1,$B$2,$B$3,$B$4,$B$5,$B$6,C$9)</f>
        <v>-1.5664367486753143E-5</v>
      </c>
    </row>
    <row r="20" spans="1:18" x14ac:dyDescent="0.25">
      <c r="A20" t="s">
        <v>12</v>
      </c>
      <c r="B20" s="5">
        <f>black_scholes_charm($B$1,$B$2,$B$3,$B$4,$B$5,$B$6,B$9)</f>
        <v>2.5693050105769062E-2</v>
      </c>
      <c r="C20" s="5">
        <f>black_scholes_charm($B$1,$B$2,$B$3,$B$4,$B$5,$B$6,C$9)</f>
        <v>7.596301745049874E-3</v>
      </c>
    </row>
    <row r="21" spans="1:18" x14ac:dyDescent="0.25">
      <c r="A21" t="s">
        <v>13</v>
      </c>
      <c r="B21" s="5">
        <f>black_scholes_colour($B$1,$B$2,$B$3,$B$4,$B$5,$B$6,B$9)</f>
        <v>6.1021104513932099E-5</v>
      </c>
      <c r="C21" s="5">
        <f>black_scholes_colour($B$1,$B$2,$B$3,$B$4,$B$5,$B$6,C$9)</f>
        <v>6.1021104513932099E-5</v>
      </c>
    </row>
    <row r="22" spans="1:18" x14ac:dyDescent="0.25">
      <c r="A22" t="s">
        <v>17</v>
      </c>
      <c r="B22" s="5">
        <f>black_scholes_vanna($B$1,$B$2,$B$3,$B$4,$B$5,$B$6,B$9)</f>
        <v>-0.66334267726296492</v>
      </c>
      <c r="C22" s="5">
        <f>black_scholes_vanna($B$1,$B$2,$B$3,$B$4,$B$5,$B$6,C$9)</f>
        <v>-0.66334267726296492</v>
      </c>
    </row>
    <row r="23" spans="1:18" x14ac:dyDescent="0.25">
      <c r="A23" t="s">
        <v>18</v>
      </c>
      <c r="B23" s="5">
        <f>black_scholes_volga($B$1,$B$2,$B$3,$B$4,$B$5,$B$6,B$9)</f>
        <v>552.69556790794798</v>
      </c>
      <c r="C23" s="5">
        <f>black_scholes_volga($B$1,$B$2,$B$3,$B$4,$B$5,$B$6,C$9)</f>
        <v>552.69556790794798</v>
      </c>
    </row>
    <row r="26" spans="1:18" x14ac:dyDescent="0.25">
      <c r="A26" t="s">
        <v>27</v>
      </c>
      <c r="B26" t="s">
        <v>6</v>
      </c>
      <c r="C26" t="s">
        <v>21</v>
      </c>
      <c r="D26" t="s">
        <v>22</v>
      </c>
      <c r="E26" t="s">
        <v>23</v>
      </c>
      <c r="G26" t="s">
        <v>25</v>
      </c>
      <c r="H26" t="s">
        <v>6</v>
      </c>
      <c r="I26" t="s">
        <v>21</v>
      </c>
      <c r="K26" t="s">
        <v>26</v>
      </c>
      <c r="L26" t="s">
        <v>6</v>
      </c>
      <c r="M26" t="s">
        <v>21</v>
      </c>
      <c r="O26" t="s">
        <v>28</v>
      </c>
      <c r="P26" t="s">
        <v>6</v>
      </c>
      <c r="Q26" t="s">
        <v>21</v>
      </c>
      <c r="R26" t="s">
        <v>22</v>
      </c>
    </row>
    <row r="27" spans="1:18" x14ac:dyDescent="0.25">
      <c r="A27">
        <v>1</v>
      </c>
      <c r="B27">
        <f>black_scholes_price($A27,$B$2,$B$3,$B$4,$B$5,$B$6,A$26)</f>
        <v>1.9154933849194314E-32</v>
      </c>
      <c r="C27">
        <f>$C$10+$C$13*(A27-$B$1)</f>
        <v>36.629853115061344</v>
      </c>
      <c r="D27">
        <f>C27+0.5*$C$14*(A27-$B$1)^2</f>
        <v>92.241029699647413</v>
      </c>
      <c r="E27" s="7">
        <f>D27+$C$19*(A27-$B$1)^3/6</f>
        <v>162.02813389752777</v>
      </c>
      <c r="G27" s="1">
        <v>0</v>
      </c>
      <c r="H27">
        <f>black_scholes_price($B$1,$B$2,$B$3,$B$4,$G27,$B$6,A$26)</f>
        <v>86.558845850166989</v>
      </c>
      <c r="I27">
        <f>$C$10+$C$16*(G27-$B$5)</f>
        <v>13.161286059545921</v>
      </c>
      <c r="K27" s="1">
        <v>0</v>
      </c>
      <c r="L27">
        <f>black_scholes_price($B$1,$B$2,$B$3,$B$4,$B$5,$K27,A$26)</f>
        <v>132.99716674938159</v>
      </c>
      <c r="M27">
        <f>$B$10+$B$17*(K27-$B$6)</f>
        <v>131.19957378428265</v>
      </c>
      <c r="O27" s="1">
        <v>0.01</v>
      </c>
      <c r="P27">
        <f>black_scholes_price($B$1,$B$2,$B$3,$O27,$B$5,$B$6,A$26)</f>
        <v>99.309630125776295</v>
      </c>
      <c r="Q27">
        <f>$B$10+$B$15*(O27-$B$4)</f>
        <v>85.688064667904541</v>
      </c>
      <c r="R27">
        <f>Q27+0.5*$B$23*(O27-$B$4)^2</f>
        <v>95.664219668643</v>
      </c>
    </row>
    <row r="28" spans="1:18" x14ac:dyDescent="0.25">
      <c r="A28">
        <v>2</v>
      </c>
      <c r="B28">
        <f t="shared" ref="B28:B91" si="0">black_scholes_price($A28,$B$2,$B$3,$B$4,$B$5,$B$6,A$26)</f>
        <v>8.5271443334133124E-25</v>
      </c>
      <c r="C28">
        <f t="shared" ref="C28:C91" si="1">$C$10+$C$13*(A28-$B$1)</f>
        <v>36.532938124187083</v>
      </c>
      <c r="D28">
        <f t="shared" ref="D28:D91" si="2">C28+0.5*$C$14*(A28-$B$1)^2</f>
        <v>91.772755636492121</v>
      </c>
      <c r="E28" s="7">
        <f t="shared" ref="E28:E91" si="3">D28+$C$19*(A28-$B$1)^3/6</f>
        <v>160.86199398774221</v>
      </c>
      <c r="G28" s="8">
        <v>1E-3</v>
      </c>
      <c r="H28">
        <f t="shared" ref="H28:H91" si="4">black_scholes_price($B$1,$B$2,$B$3,$B$4,$G28,$B$6,A$26)</f>
        <v>87.236191447449613</v>
      </c>
      <c r="I28">
        <f t="shared" ref="I28:I91" si="5">$C$10+$C$16*(G28-$B$5)</f>
        <v>12.977652219016242</v>
      </c>
      <c r="K28" s="8">
        <v>1E-3</v>
      </c>
      <c r="L28">
        <f t="shared" ref="L28:L91" si="6">black_scholes_price($B$1,$B$2,$B$3,$B$4,$B$5,$K28,A$26)</f>
        <v>131.6088432846272</v>
      </c>
      <c r="M28">
        <f t="shared" ref="M28:M91" si="7">$B$10+$B$17*(K28-$B$6)</f>
        <v>129.98769014354011</v>
      </c>
      <c r="O28" s="1">
        <v>0.02</v>
      </c>
      <c r="P28">
        <f t="shared" ref="P28:P76" si="8">black_scholes_price($B$1,$B$2,$B$3,$O28,$B$5,$B$6,A$26)</f>
        <v>99.309630125776295</v>
      </c>
      <c r="Q28">
        <f t="shared" ref="Q28:Q76" si="9">$B$10+$B$15*(O28-$B$4)</f>
        <v>86.807740262721765</v>
      </c>
      <c r="R28">
        <f t="shared" ref="R28:R76" si="10">Q28+0.5*$B$23*(O28-$B$4)^2</f>
        <v>95.761408462830531</v>
      </c>
    </row>
    <row r="29" spans="1:18" x14ac:dyDescent="0.25">
      <c r="A29">
        <v>3</v>
      </c>
      <c r="B29">
        <f t="shared" si="0"/>
        <v>8.5033908318824789E-21</v>
      </c>
      <c r="C29">
        <f t="shared" si="1"/>
        <v>36.436023133312816</v>
      </c>
      <c r="D29">
        <f t="shared" si="2"/>
        <v>91.305725657331038</v>
      </c>
      <c r="E29" s="7">
        <f t="shared" si="3"/>
        <v>159.70176614346195</v>
      </c>
      <c r="G29" s="8">
        <v>2E-3</v>
      </c>
      <c r="H29">
        <f t="shared" si="4"/>
        <v>87.914121663428773</v>
      </c>
      <c r="I29">
        <f t="shared" si="5"/>
        <v>12.794018378486564</v>
      </c>
      <c r="K29" s="8">
        <v>2E-3</v>
      </c>
      <c r="L29">
        <f t="shared" si="6"/>
        <v>130.22974991088634</v>
      </c>
      <c r="M29">
        <f t="shared" si="7"/>
        <v>128.77580650279756</v>
      </c>
      <c r="O29" s="1">
        <v>0.03</v>
      </c>
      <c r="P29">
        <f t="shared" si="8"/>
        <v>99.309630125787805</v>
      </c>
      <c r="Q29">
        <f t="shared" si="9"/>
        <v>87.927415857539003</v>
      </c>
      <c r="R29">
        <f t="shared" si="10"/>
        <v>95.913866813808852</v>
      </c>
    </row>
    <row r="30" spans="1:18" x14ac:dyDescent="0.25">
      <c r="A30">
        <v>4</v>
      </c>
      <c r="B30">
        <f t="shared" si="0"/>
        <v>3.5874171458171659E-18</v>
      </c>
      <c r="C30">
        <f t="shared" si="1"/>
        <v>36.339108142438548</v>
      </c>
      <c r="D30">
        <f t="shared" si="2"/>
        <v>90.839939762164207</v>
      </c>
      <c r="E30" s="7">
        <f t="shared" si="3"/>
        <v>158.54743470031946</v>
      </c>
      <c r="G30" s="1">
        <v>3.0000000000000001E-3</v>
      </c>
      <c r="H30">
        <f t="shared" si="4"/>
        <v>88.592592879995436</v>
      </c>
      <c r="I30">
        <f t="shared" si="5"/>
        <v>12.610384537956886</v>
      </c>
      <c r="K30" s="1">
        <v>3.0000000000000001E-3</v>
      </c>
      <c r="L30">
        <f t="shared" si="6"/>
        <v>128.85986656029664</v>
      </c>
      <c r="M30">
        <f t="shared" si="7"/>
        <v>127.56392286205502</v>
      </c>
      <c r="O30" s="1">
        <v>0.04</v>
      </c>
      <c r="P30">
        <f t="shared" si="8"/>
        <v>99.309630752975465</v>
      </c>
      <c r="Q30">
        <f t="shared" si="9"/>
        <v>89.047091452356227</v>
      </c>
      <c r="R30">
        <f t="shared" si="10"/>
        <v>96.121594721577964</v>
      </c>
    </row>
    <row r="31" spans="1:18" x14ac:dyDescent="0.25">
      <c r="A31">
        <v>5</v>
      </c>
      <c r="B31">
        <f t="shared" si="0"/>
        <v>2.9527652651680535E-16</v>
      </c>
      <c r="C31">
        <f t="shared" si="1"/>
        <v>36.24219315156428</v>
      </c>
      <c r="D31">
        <f t="shared" si="2"/>
        <v>90.375397950991612</v>
      </c>
      <c r="E31" s="7">
        <f t="shared" si="3"/>
        <v>157.3989839939473</v>
      </c>
      <c r="G31" s="8">
        <v>4.0000000000000001E-3</v>
      </c>
      <c r="H31">
        <f t="shared" si="4"/>
        <v>89.271561629436206</v>
      </c>
      <c r="I31">
        <f t="shared" si="5"/>
        <v>12.426750697427208</v>
      </c>
      <c r="K31" s="8">
        <v>4.0000000000000001E-3</v>
      </c>
      <c r="L31">
        <f t="shared" si="6"/>
        <v>127.49917326279558</v>
      </c>
      <c r="M31">
        <f t="shared" si="7"/>
        <v>126.35203922131249</v>
      </c>
      <c r="O31" s="1">
        <v>0.05</v>
      </c>
      <c r="P31">
        <f t="shared" si="8"/>
        <v>99.309754143768942</v>
      </c>
      <c r="Q31">
        <f t="shared" si="9"/>
        <v>90.166767047173451</v>
      </c>
      <c r="R31">
        <f t="shared" si="10"/>
        <v>96.384592186137866</v>
      </c>
    </row>
    <row r="32" spans="1:18" x14ac:dyDescent="0.25">
      <c r="A32">
        <v>6</v>
      </c>
      <c r="B32">
        <f t="shared" si="0"/>
        <v>9.0601548496009218E-15</v>
      </c>
      <c r="C32">
        <f t="shared" si="1"/>
        <v>36.145278160690012</v>
      </c>
      <c r="D32">
        <f t="shared" si="2"/>
        <v>89.912100223813269</v>
      </c>
      <c r="E32" s="7">
        <f t="shared" si="3"/>
        <v>156.25639835997799</v>
      </c>
      <c r="G32" s="8">
        <v>5.0000000000000001E-3</v>
      </c>
      <c r="H32">
        <f t="shared" si="4"/>
        <v>89.950984604520016</v>
      </c>
      <c r="I32">
        <f t="shared" si="5"/>
        <v>12.243116856897529</v>
      </c>
      <c r="K32" s="8">
        <v>5.0000000000000001E-3</v>
      </c>
      <c r="L32">
        <f t="shared" si="6"/>
        <v>126.14765013907973</v>
      </c>
      <c r="M32">
        <f t="shared" si="7"/>
        <v>125.14015558056995</v>
      </c>
      <c r="O32" s="1">
        <v>0.06</v>
      </c>
      <c r="P32">
        <f t="shared" si="8"/>
        <v>99.312189240288461</v>
      </c>
      <c r="Q32">
        <f t="shared" si="9"/>
        <v>91.286442641990675</v>
      </c>
      <c r="R32">
        <f t="shared" si="10"/>
        <v>96.702859207488572</v>
      </c>
    </row>
    <row r="33" spans="1:18" x14ac:dyDescent="0.25">
      <c r="A33">
        <v>7</v>
      </c>
      <c r="B33">
        <f t="shared" si="0"/>
        <v>1.4441972503799633E-13</v>
      </c>
      <c r="C33">
        <f t="shared" si="1"/>
        <v>36.048363169815744</v>
      </c>
      <c r="D33">
        <f t="shared" si="2"/>
        <v>89.450046580629163</v>
      </c>
      <c r="E33" s="7">
        <f t="shared" si="3"/>
        <v>155.11966213404406</v>
      </c>
      <c r="G33" s="1">
        <v>6.0000000000000001E-3</v>
      </c>
      <c r="H33">
        <f t="shared" si="4"/>
        <v>90.63081866844189</v>
      </c>
      <c r="I33">
        <f t="shared" si="5"/>
        <v>12.059483016367853</v>
      </c>
      <c r="K33" s="1">
        <v>6.0000000000000001E-3</v>
      </c>
      <c r="L33">
        <f t="shared" si="6"/>
        <v>124.80527739353093</v>
      </c>
      <c r="M33">
        <f t="shared" si="7"/>
        <v>123.92827193982741</v>
      </c>
      <c r="O33" s="1">
        <v>7.0000000000000007E-2</v>
      </c>
      <c r="P33">
        <f t="shared" si="8"/>
        <v>99.327298527960835</v>
      </c>
      <c r="Q33">
        <f t="shared" si="9"/>
        <v>92.406118236807913</v>
      </c>
      <c r="R33">
        <f t="shared" si="10"/>
        <v>97.076395785630069</v>
      </c>
    </row>
    <row r="34" spans="1:18" x14ac:dyDescent="0.25">
      <c r="A34">
        <v>8</v>
      </c>
      <c r="B34">
        <f t="shared" si="0"/>
        <v>1.4483817266303093E-12</v>
      </c>
      <c r="C34">
        <f t="shared" si="1"/>
        <v>35.951448178941476</v>
      </c>
      <c r="D34">
        <f t="shared" si="2"/>
        <v>88.989237021439294</v>
      </c>
      <c r="E34" s="7">
        <f t="shared" si="3"/>
        <v>153.98875965177791</v>
      </c>
      <c r="G34" s="8">
        <v>7.0000000000000001E-3</v>
      </c>
      <c r="H34">
        <f t="shared" si="4"/>
        <v>91.311020864620502</v>
      </c>
      <c r="I34">
        <f t="shared" si="5"/>
        <v>11.875849175838173</v>
      </c>
      <c r="K34" s="8">
        <v>7.0000000000000001E-3</v>
      </c>
      <c r="L34">
        <f t="shared" si="6"/>
        <v>123.47203530711047</v>
      </c>
      <c r="M34">
        <f t="shared" si="7"/>
        <v>122.71638829908487</v>
      </c>
      <c r="O34" s="1">
        <v>0.08</v>
      </c>
      <c r="P34">
        <f t="shared" si="8"/>
        <v>99.376522165499836</v>
      </c>
      <c r="Q34">
        <f t="shared" si="9"/>
        <v>93.525793831625137</v>
      </c>
      <c r="R34">
        <f t="shared" si="10"/>
        <v>97.505201920562357</v>
      </c>
    </row>
    <row r="35" spans="1:18" x14ac:dyDescent="0.25">
      <c r="A35">
        <v>9</v>
      </c>
      <c r="B35">
        <f t="shared" si="0"/>
        <v>1.0304058655193099E-11</v>
      </c>
      <c r="C35">
        <f t="shared" si="1"/>
        <v>35.854533188067208</v>
      </c>
      <c r="D35">
        <f t="shared" si="2"/>
        <v>88.529671546243662</v>
      </c>
      <c r="E35" s="7">
        <f t="shared" si="3"/>
        <v>152.86367524881217</v>
      </c>
      <c r="G35" s="8">
        <v>8.0000000000000002E-3</v>
      </c>
      <c r="H35">
        <f t="shared" si="4"/>
        <v>91.991548426345759</v>
      </c>
      <c r="I35">
        <f t="shared" si="5"/>
        <v>11.692215335308497</v>
      </c>
      <c r="K35" s="8">
        <v>8.0000000000000002E-3</v>
      </c>
      <c r="L35">
        <f t="shared" si="6"/>
        <v>122.14790423022509</v>
      </c>
      <c r="M35">
        <f t="shared" si="7"/>
        <v>121.50450465834234</v>
      </c>
      <c r="O35" s="1">
        <v>0.09</v>
      </c>
      <c r="P35">
        <f t="shared" si="8"/>
        <v>99.486205649718215</v>
      </c>
      <c r="Q35">
        <f t="shared" si="9"/>
        <v>94.645469426442361</v>
      </c>
      <c r="R35">
        <f t="shared" si="10"/>
        <v>97.989277612285449</v>
      </c>
    </row>
    <row r="36" spans="1:18" x14ac:dyDescent="0.25">
      <c r="A36">
        <v>10</v>
      </c>
      <c r="B36">
        <f t="shared" si="0"/>
        <v>5.6319756470938797E-11</v>
      </c>
      <c r="C36">
        <f t="shared" si="1"/>
        <v>35.75761819719294</v>
      </c>
      <c r="D36">
        <f t="shared" si="2"/>
        <v>88.071350155042282</v>
      </c>
      <c r="E36" s="7">
        <f t="shared" si="3"/>
        <v>151.74439326077936</v>
      </c>
      <c r="G36" s="1">
        <v>8.9999999999999993E-3</v>
      </c>
      <c r="H36">
        <f t="shared" si="4"/>
        <v>92.672358786273804</v>
      </c>
      <c r="I36">
        <f t="shared" si="5"/>
        <v>11.508581494778817</v>
      </c>
      <c r="K36" s="1">
        <v>8.9999999999999993E-3</v>
      </c>
      <c r="L36">
        <f t="shared" si="6"/>
        <v>120.83286457556679</v>
      </c>
      <c r="M36">
        <f t="shared" si="7"/>
        <v>120.2926210175998</v>
      </c>
      <c r="O36" s="1">
        <v>0.1</v>
      </c>
      <c r="P36">
        <f t="shared" si="8"/>
        <v>99.679363687636027</v>
      </c>
      <c r="Q36">
        <f t="shared" si="9"/>
        <v>95.765145021259599</v>
      </c>
      <c r="R36">
        <f t="shared" si="10"/>
        <v>98.528622860799345</v>
      </c>
    </row>
    <row r="37" spans="1:18" x14ac:dyDescent="0.25">
      <c r="A37">
        <v>11</v>
      </c>
      <c r="B37">
        <f t="shared" si="0"/>
        <v>2.5002487035846235E-10</v>
      </c>
      <c r="C37">
        <f t="shared" si="1"/>
        <v>35.660703206318672</v>
      </c>
      <c r="D37">
        <f t="shared" si="2"/>
        <v>87.614272847835139</v>
      </c>
      <c r="E37" s="7">
        <f t="shared" si="3"/>
        <v>150.63089802331191</v>
      </c>
      <c r="G37" s="8">
        <v>0.01</v>
      </c>
      <c r="H37">
        <f t="shared" si="4"/>
        <v>93.353409585764524</v>
      </c>
      <c r="I37">
        <f t="shared" si="5"/>
        <v>11.32494765424914</v>
      </c>
      <c r="K37" s="8">
        <v>0.01</v>
      </c>
      <c r="L37">
        <f t="shared" si="6"/>
        <v>119.52689681093042</v>
      </c>
      <c r="M37">
        <f t="shared" si="7"/>
        <v>119.08073737685726</v>
      </c>
      <c r="O37" s="1">
        <v>0.11</v>
      </c>
      <c r="P37">
        <f t="shared" si="8"/>
        <v>99.971421004831086</v>
      </c>
      <c r="Q37">
        <f t="shared" si="9"/>
        <v>96.884820616076823</v>
      </c>
      <c r="R37">
        <f t="shared" si="10"/>
        <v>99.123237666104018</v>
      </c>
    </row>
    <row r="38" spans="1:18" x14ac:dyDescent="0.25">
      <c r="A38">
        <v>12</v>
      </c>
      <c r="B38">
        <f t="shared" si="0"/>
        <v>9.3846892350176667E-10</v>
      </c>
      <c r="C38">
        <f t="shared" si="1"/>
        <v>35.563788215444411</v>
      </c>
      <c r="D38">
        <f t="shared" si="2"/>
        <v>87.158439624622247</v>
      </c>
      <c r="E38" s="7">
        <f t="shared" si="3"/>
        <v>149.52317387204238</v>
      </c>
      <c r="G38" s="8">
        <v>1.0999999999999999E-2</v>
      </c>
      <c r="H38">
        <f t="shared" si="4"/>
        <v>94.034658684060304</v>
      </c>
      <c r="I38">
        <f t="shared" si="5"/>
        <v>11.141313813719462</v>
      </c>
      <c r="K38" s="8">
        <v>1.0999999999999999E-2</v>
      </c>
      <c r="L38">
        <f t="shared" si="6"/>
        <v>118.22998145201097</v>
      </c>
      <c r="M38">
        <f t="shared" si="7"/>
        <v>117.86885373611472</v>
      </c>
      <c r="O38" s="1">
        <v>0.12</v>
      </c>
      <c r="P38">
        <f t="shared" si="8"/>
        <v>100.36989488367928</v>
      </c>
      <c r="Q38">
        <f t="shared" si="9"/>
        <v>98.004496210894047</v>
      </c>
      <c r="R38">
        <f t="shared" si="10"/>
        <v>99.773122028199481</v>
      </c>
    </row>
    <row r="39" spans="1:18" x14ac:dyDescent="0.25">
      <c r="A39">
        <v>13</v>
      </c>
      <c r="B39">
        <f t="shared" si="0"/>
        <v>3.0687074047742171E-9</v>
      </c>
      <c r="C39">
        <f t="shared" si="1"/>
        <v>35.466873224570143</v>
      </c>
      <c r="D39">
        <f t="shared" si="2"/>
        <v>86.703850485403592</v>
      </c>
      <c r="E39" s="7">
        <f t="shared" si="3"/>
        <v>148.42120514260327</v>
      </c>
      <c r="G39" s="1">
        <v>1.2E-2</v>
      </c>
      <c r="H39">
        <f t="shared" si="4"/>
        <v>94.716064167301454</v>
      </c>
      <c r="I39">
        <f t="shared" si="5"/>
        <v>10.957679973189784</v>
      </c>
      <c r="K39" s="1">
        <v>1.2E-2</v>
      </c>
      <c r="L39">
        <f t="shared" si="6"/>
        <v>116.94209905518389</v>
      </c>
      <c r="M39">
        <f t="shared" si="7"/>
        <v>116.65697009537217</v>
      </c>
      <c r="O39" s="1">
        <v>0.13</v>
      </c>
      <c r="P39">
        <f t="shared" si="8"/>
        <v>100.87597984354682</v>
      </c>
      <c r="Q39">
        <f t="shared" si="9"/>
        <v>99.124171805711271</v>
      </c>
      <c r="R39">
        <f t="shared" si="10"/>
        <v>100.47827594708575</v>
      </c>
    </row>
    <row r="40" spans="1:18" x14ac:dyDescent="0.25">
      <c r="A40">
        <v>14</v>
      </c>
      <c r="B40">
        <f t="shared" si="0"/>
        <v>8.9432733777845829E-9</v>
      </c>
      <c r="C40">
        <f t="shared" si="1"/>
        <v>35.369958233695876</v>
      </c>
      <c r="D40">
        <f t="shared" si="2"/>
        <v>86.250505430179174</v>
      </c>
      <c r="E40" s="7">
        <f t="shared" si="3"/>
        <v>147.32497617062711</v>
      </c>
      <c r="G40" s="8">
        <v>1.2999999999999999E-2</v>
      </c>
      <c r="H40">
        <f t="shared" si="4"/>
        <v>95.397584357376701</v>
      </c>
      <c r="I40">
        <f t="shared" si="5"/>
        <v>10.774046132660105</v>
      </c>
      <c r="K40" s="8">
        <v>1.2999999999999999E-2</v>
      </c>
      <c r="L40">
        <f t="shared" si="6"/>
        <v>115.66323021027225</v>
      </c>
      <c r="M40">
        <f t="shared" si="7"/>
        <v>115.44508645462965</v>
      </c>
      <c r="O40" s="1">
        <v>0.14000000000000001</v>
      </c>
      <c r="P40">
        <f t="shared" si="8"/>
        <v>101.48652805435725</v>
      </c>
      <c r="Q40">
        <f t="shared" si="9"/>
        <v>100.24384740052849</v>
      </c>
      <c r="R40">
        <f t="shared" si="10"/>
        <v>101.23869942276281</v>
      </c>
    </row>
    <row r="41" spans="1:18" x14ac:dyDescent="0.25">
      <c r="A41">
        <v>15</v>
      </c>
      <c r="B41">
        <f t="shared" si="0"/>
        <v>2.3646124216682567E-8</v>
      </c>
      <c r="C41">
        <f t="shared" si="1"/>
        <v>35.273043242821615</v>
      </c>
      <c r="D41">
        <f t="shared" si="2"/>
        <v>85.798404458948994</v>
      </c>
      <c r="E41" s="7">
        <f t="shared" si="3"/>
        <v>146.23447129174639</v>
      </c>
      <c r="G41" s="8">
        <v>1.4E-2</v>
      </c>
      <c r="H41">
        <f t="shared" si="4"/>
        <v>96.079177820604684</v>
      </c>
      <c r="I41">
        <f t="shared" si="5"/>
        <v>10.590412292130427</v>
      </c>
      <c r="K41" s="8">
        <v>1.4E-2</v>
      </c>
      <c r="L41">
        <f t="shared" si="6"/>
        <v>114.39335553330241</v>
      </c>
      <c r="M41">
        <f t="shared" si="7"/>
        <v>114.2332028138871</v>
      </c>
      <c r="O41" s="1">
        <v>0.15</v>
      </c>
      <c r="P41">
        <f t="shared" si="8"/>
        <v>102.19575316791992</v>
      </c>
      <c r="Q41">
        <f t="shared" si="9"/>
        <v>101.36352299534573</v>
      </c>
      <c r="R41">
        <f t="shared" si="10"/>
        <v>102.05439245523067</v>
      </c>
    </row>
    <row r="42" spans="1:18" x14ac:dyDescent="0.25">
      <c r="A42">
        <v>16</v>
      </c>
      <c r="B42">
        <f t="shared" si="0"/>
        <v>5.7526125729398267E-8</v>
      </c>
      <c r="C42">
        <f t="shared" si="1"/>
        <v>35.176128251947347</v>
      </c>
      <c r="D42">
        <f t="shared" si="2"/>
        <v>85.347547571713065</v>
      </c>
      <c r="E42" s="7">
        <f t="shared" si="3"/>
        <v>145.14967484159365</v>
      </c>
      <c r="G42" s="1">
        <v>1.4999999999999999E-2</v>
      </c>
      <c r="H42">
        <f t="shared" si="4"/>
        <v>96.760803376244809</v>
      </c>
      <c r="I42">
        <f t="shared" si="5"/>
        <v>10.406778451600751</v>
      </c>
      <c r="K42" s="1">
        <v>1.4999999999999999E-2</v>
      </c>
      <c r="L42">
        <f t="shared" si="6"/>
        <v>113.13245565925243</v>
      </c>
      <c r="M42">
        <f t="shared" si="7"/>
        <v>113.02131917314456</v>
      </c>
      <c r="O42" s="1">
        <v>0.16</v>
      </c>
      <c r="P42">
        <f t="shared" si="8"/>
        <v>102.99648538362604</v>
      </c>
      <c r="Q42">
        <f t="shared" si="9"/>
        <v>102.48319859016296</v>
      </c>
      <c r="R42">
        <f t="shared" si="10"/>
        <v>102.92535504448932</v>
      </c>
    </row>
    <row r="43" spans="1:18" x14ac:dyDescent="0.25">
      <c r="A43">
        <v>17</v>
      </c>
      <c r="B43">
        <f t="shared" si="0"/>
        <v>1.3023854897211823E-7</v>
      </c>
      <c r="C43">
        <f t="shared" si="1"/>
        <v>35.079213261073079</v>
      </c>
      <c r="D43">
        <f t="shared" si="2"/>
        <v>84.897934768471373</v>
      </c>
      <c r="E43" s="7">
        <f t="shared" si="3"/>
        <v>144.07057115580139</v>
      </c>
      <c r="G43" s="8">
        <v>1.6E-2</v>
      </c>
      <c r="H43">
        <f t="shared" si="4"/>
        <v>97.442420104834753</v>
      </c>
      <c r="I43">
        <f t="shared" si="5"/>
        <v>10.223144611071071</v>
      </c>
      <c r="K43" s="8">
        <v>1.6E-2</v>
      </c>
      <c r="L43">
        <f t="shared" si="6"/>
        <v>111.88051123479642</v>
      </c>
      <c r="M43">
        <f t="shared" si="7"/>
        <v>111.80943553240202</v>
      </c>
      <c r="O43" s="1">
        <v>0.17</v>
      </c>
      <c r="P43">
        <f t="shared" si="8"/>
        <v>103.88101581406687</v>
      </c>
      <c r="Q43">
        <f t="shared" si="9"/>
        <v>103.60287418498018</v>
      </c>
      <c r="R43">
        <f t="shared" si="10"/>
        <v>103.85158719053875</v>
      </c>
    </row>
    <row r="44" spans="1:18" x14ac:dyDescent="0.25">
      <c r="A44">
        <v>18</v>
      </c>
      <c r="B44">
        <f t="shared" si="0"/>
        <v>2.7695223884193658E-7</v>
      </c>
      <c r="C44">
        <f t="shared" si="1"/>
        <v>34.982298270198811</v>
      </c>
      <c r="D44">
        <f t="shared" si="2"/>
        <v>84.449566049223918</v>
      </c>
      <c r="E44" s="7">
        <f t="shared" si="3"/>
        <v>142.99714457000209</v>
      </c>
      <c r="G44" s="8">
        <v>1.7000000000000001E-2</v>
      </c>
      <c r="H44">
        <f t="shared" si="4"/>
        <v>98.123987356351904</v>
      </c>
      <c r="I44">
        <f t="shared" si="5"/>
        <v>10.039510770541394</v>
      </c>
      <c r="K44" s="8">
        <v>1.7000000000000001E-2</v>
      </c>
      <c r="L44">
        <f t="shared" si="6"/>
        <v>110.63750291104705</v>
      </c>
      <c r="M44">
        <f t="shared" si="7"/>
        <v>110.59755189165948</v>
      </c>
      <c r="O44" s="1">
        <v>0.18</v>
      </c>
      <c r="P44">
        <f t="shared" si="8"/>
        <v>104.84162699470028</v>
      </c>
      <c r="Q44">
        <f t="shared" si="9"/>
        <v>104.7225497797974</v>
      </c>
      <c r="R44">
        <f t="shared" si="10"/>
        <v>104.833088893379</v>
      </c>
    </row>
    <row r="45" spans="1:18" x14ac:dyDescent="0.25">
      <c r="A45">
        <v>19</v>
      </c>
      <c r="B45">
        <f t="shared" si="0"/>
        <v>5.5741996379460039E-7</v>
      </c>
      <c r="C45">
        <f t="shared" si="1"/>
        <v>34.885383279324543</v>
      </c>
      <c r="D45">
        <f t="shared" si="2"/>
        <v>84.002441413970701</v>
      </c>
      <c r="E45" s="7">
        <f t="shared" si="3"/>
        <v>141.92937941982831</v>
      </c>
      <c r="G45" s="1">
        <v>1.7999999999999999E-2</v>
      </c>
      <c r="H45">
        <f t="shared" si="4"/>
        <v>98.805464758196734</v>
      </c>
      <c r="I45">
        <f t="shared" si="5"/>
        <v>9.8558769300117159</v>
      </c>
      <c r="K45" s="1">
        <v>1.7999999999999999E-2</v>
      </c>
      <c r="L45">
        <f t="shared" si="6"/>
        <v>109.40341133630065</v>
      </c>
      <c r="M45">
        <f t="shared" si="7"/>
        <v>109.38566825091695</v>
      </c>
      <c r="O45" s="1">
        <v>0.19</v>
      </c>
      <c r="P45">
        <f t="shared" si="8"/>
        <v>105.87090407382209</v>
      </c>
      <c r="Q45">
        <f t="shared" si="9"/>
        <v>105.84222537461464</v>
      </c>
      <c r="R45">
        <f t="shared" si="10"/>
        <v>105.86986015301004</v>
      </c>
    </row>
    <row r="46" spans="1:18" x14ac:dyDescent="0.25">
      <c r="A46">
        <v>20</v>
      </c>
      <c r="B46">
        <f t="shared" si="0"/>
        <v>1.0686723217099579E-6</v>
      </c>
      <c r="C46">
        <f t="shared" si="1"/>
        <v>34.788468288450275</v>
      </c>
      <c r="D46">
        <f t="shared" si="2"/>
        <v>83.556560862711734</v>
      </c>
      <c r="E46" s="7">
        <f t="shared" si="3"/>
        <v>140.86726004091256</v>
      </c>
      <c r="G46" s="8">
        <v>1.9E-2</v>
      </c>
      <c r="H46">
        <f t="shared" si="4"/>
        <v>99.486812222996463</v>
      </c>
      <c r="I46">
        <f t="shared" si="5"/>
        <v>9.6722430894820377</v>
      </c>
      <c r="K46" s="8">
        <v>1.9E-2</v>
      </c>
      <c r="L46">
        <f t="shared" si="6"/>
        <v>108.17821714878778</v>
      </c>
      <c r="M46">
        <f t="shared" si="7"/>
        <v>108.17378461017441</v>
      </c>
      <c r="O46" s="1">
        <v>0.2</v>
      </c>
      <c r="P46">
        <f t="shared" si="8"/>
        <v>106.96190096943187</v>
      </c>
      <c r="Q46">
        <f t="shared" si="9"/>
        <v>106.96190096943187</v>
      </c>
      <c r="R46">
        <f t="shared" si="10"/>
        <v>106.96190096943187</v>
      </c>
    </row>
    <row r="47" spans="1:18" x14ac:dyDescent="0.25">
      <c r="A47">
        <v>21</v>
      </c>
      <c r="B47">
        <f t="shared" si="0"/>
        <v>1.962124321661004E-6</v>
      </c>
      <c r="C47">
        <f t="shared" si="1"/>
        <v>34.691553297576007</v>
      </c>
      <c r="D47">
        <f t="shared" si="2"/>
        <v>83.111924395447005</v>
      </c>
      <c r="E47" s="7">
        <f t="shared" si="3"/>
        <v>139.81077076888735</v>
      </c>
      <c r="G47" s="8">
        <v>0.02</v>
      </c>
      <c r="H47">
        <f t="shared" si="4"/>
        <v>100.16798995622568</v>
      </c>
      <c r="I47">
        <f t="shared" si="5"/>
        <v>9.4886092489523595</v>
      </c>
      <c r="K47" s="8">
        <v>0.02</v>
      </c>
      <c r="L47">
        <f t="shared" si="6"/>
        <v>106.96190096943187</v>
      </c>
      <c r="M47">
        <f t="shared" si="7"/>
        <v>106.96190096943187</v>
      </c>
      <c r="O47" s="1">
        <v>0.21</v>
      </c>
      <c r="P47">
        <f t="shared" si="8"/>
        <v>108.1082145138158</v>
      </c>
      <c r="Q47">
        <f t="shared" si="9"/>
        <v>108.08157656424909</v>
      </c>
      <c r="R47">
        <f t="shared" si="10"/>
        <v>108.10921134264449</v>
      </c>
    </row>
    <row r="48" spans="1:18" x14ac:dyDescent="0.25">
      <c r="A48">
        <v>22</v>
      </c>
      <c r="B48">
        <f t="shared" si="0"/>
        <v>3.4658743237537859E-6</v>
      </c>
      <c r="C48">
        <f t="shared" si="1"/>
        <v>34.594638306701739</v>
      </c>
      <c r="D48">
        <f t="shared" si="2"/>
        <v>82.668532012176513</v>
      </c>
      <c r="E48" s="7">
        <f t="shared" si="3"/>
        <v>138.75989593938516</v>
      </c>
      <c r="G48" s="1">
        <v>2.1000000000000001E-2</v>
      </c>
      <c r="H48">
        <f t="shared" si="4"/>
        <v>100.84895846364384</v>
      </c>
      <c r="I48">
        <f t="shared" si="5"/>
        <v>9.3049754084226812</v>
      </c>
      <c r="K48" s="1">
        <v>2.1000000000000001E-2</v>
      </c>
      <c r="L48">
        <f t="shared" si="6"/>
        <v>105.75444339462081</v>
      </c>
      <c r="M48">
        <f t="shared" si="7"/>
        <v>105.75001732868932</v>
      </c>
      <c r="O48" s="1">
        <v>0.22</v>
      </c>
      <c r="P48">
        <f t="shared" si="8"/>
        <v>109.30400246474406</v>
      </c>
      <c r="Q48">
        <f t="shared" si="9"/>
        <v>109.20125215906631</v>
      </c>
      <c r="R48">
        <f t="shared" si="10"/>
        <v>109.31179127264791</v>
      </c>
    </row>
    <row r="49" spans="1:18" x14ac:dyDescent="0.25">
      <c r="A49">
        <v>23</v>
      </c>
      <c r="B49">
        <f t="shared" si="0"/>
        <v>5.912926507235157E-6</v>
      </c>
      <c r="C49">
        <f t="shared" si="1"/>
        <v>34.497723315827471</v>
      </c>
      <c r="D49">
        <f t="shared" si="2"/>
        <v>82.226383712900272</v>
      </c>
      <c r="E49" s="7">
        <f t="shared" si="3"/>
        <v>137.71461988803856</v>
      </c>
      <c r="G49" s="8">
        <v>2.1999999999999999E-2</v>
      </c>
      <c r="H49">
        <f t="shared" si="4"/>
        <v>101.52967855854698</v>
      </c>
      <c r="I49">
        <f t="shared" si="5"/>
        <v>9.121341567893003</v>
      </c>
      <c r="K49" s="8">
        <v>2.1999999999999999E-2</v>
      </c>
      <c r="L49">
        <f t="shared" si="6"/>
        <v>104.55582498899321</v>
      </c>
      <c r="M49">
        <f t="shared" si="7"/>
        <v>104.5381336879468</v>
      </c>
      <c r="O49" s="1">
        <v>0.23</v>
      </c>
      <c r="P49">
        <f t="shared" si="8"/>
        <v>110.54396884208123</v>
      </c>
      <c r="Q49">
        <f t="shared" si="9"/>
        <v>110.32092775388355</v>
      </c>
      <c r="R49">
        <f t="shared" si="10"/>
        <v>110.56964075944212</v>
      </c>
    </row>
    <row r="50" spans="1:18" x14ac:dyDescent="0.25">
      <c r="A50">
        <v>24</v>
      </c>
      <c r="B50">
        <f t="shared" si="0"/>
        <v>9.7759824552675782E-6</v>
      </c>
      <c r="C50">
        <f t="shared" si="1"/>
        <v>34.400808324953211</v>
      </c>
      <c r="D50">
        <f t="shared" si="2"/>
        <v>81.785479497618269</v>
      </c>
      <c r="E50" s="7">
        <f t="shared" si="3"/>
        <v>136.67492695048</v>
      </c>
      <c r="G50" s="8">
        <v>2.3E-2</v>
      </c>
      <c r="H50">
        <f t="shared" si="4"/>
        <v>102.2101113688318</v>
      </c>
      <c r="I50">
        <f t="shared" si="5"/>
        <v>8.9377077273633248</v>
      </c>
      <c r="K50" s="8">
        <v>2.3E-2</v>
      </c>
      <c r="L50">
        <f t="shared" si="6"/>
        <v>103.36602627824436</v>
      </c>
      <c r="M50">
        <f t="shared" si="7"/>
        <v>103.32625004720425</v>
      </c>
      <c r="O50" s="1">
        <v>0.24</v>
      </c>
      <c r="P50">
        <f t="shared" si="8"/>
        <v>111.82333153347302</v>
      </c>
      <c r="Q50">
        <f t="shared" si="9"/>
        <v>111.44060334870078</v>
      </c>
      <c r="R50">
        <f t="shared" si="10"/>
        <v>111.88275980302713</v>
      </c>
    </row>
    <row r="51" spans="1:18" x14ac:dyDescent="0.25">
      <c r="A51">
        <v>25</v>
      </c>
      <c r="B51">
        <f t="shared" si="0"/>
        <v>1.5709329177138951E-5</v>
      </c>
      <c r="C51">
        <f t="shared" si="1"/>
        <v>34.303893334078943</v>
      </c>
      <c r="D51">
        <f t="shared" si="2"/>
        <v>81.345819366330517</v>
      </c>
      <c r="E51" s="7">
        <f t="shared" si="3"/>
        <v>135.64080146234207</v>
      </c>
      <c r="G51" s="1">
        <v>2.4E-2</v>
      </c>
      <c r="H51">
        <f t="shared" si="4"/>
        <v>102.89021834387137</v>
      </c>
      <c r="I51">
        <f t="shared" si="5"/>
        <v>8.7540738868336465</v>
      </c>
      <c r="K51" s="1">
        <v>2.4E-2</v>
      </c>
      <c r="L51">
        <f t="shared" si="6"/>
        <v>102.185027741954</v>
      </c>
      <c r="M51">
        <f t="shared" si="7"/>
        <v>102.11436640646171</v>
      </c>
      <c r="O51" s="1">
        <v>0.25</v>
      </c>
      <c r="P51">
        <f t="shared" si="8"/>
        <v>113.13778146286452</v>
      </c>
      <c r="Q51">
        <f t="shared" si="9"/>
        <v>112.560278943518</v>
      </c>
      <c r="R51">
        <f t="shared" si="10"/>
        <v>113.25114840340294</v>
      </c>
    </row>
    <row r="52" spans="1:18" x14ac:dyDescent="0.25">
      <c r="A52">
        <v>26</v>
      </c>
      <c r="B52">
        <f t="shared" si="0"/>
        <v>2.45982060552103E-5</v>
      </c>
      <c r="C52">
        <f t="shared" si="1"/>
        <v>34.206978343204675</v>
      </c>
      <c r="D52">
        <f t="shared" si="2"/>
        <v>80.907403319036987</v>
      </c>
      <c r="E52" s="7">
        <f t="shared" si="3"/>
        <v>134.61222775925719</v>
      </c>
      <c r="G52" s="8">
        <v>2.5000000000000001E-2</v>
      </c>
      <c r="H52">
        <f t="shared" si="4"/>
        <v>103.56996126120097</v>
      </c>
      <c r="I52">
        <f t="shared" si="5"/>
        <v>8.5704400463039683</v>
      </c>
      <c r="K52" s="8">
        <v>2.5000000000000001E-2</v>
      </c>
      <c r="L52">
        <f t="shared" si="6"/>
        <v>101.01280980643978</v>
      </c>
      <c r="M52">
        <f t="shared" si="7"/>
        <v>100.90248276571917</v>
      </c>
      <c r="O52" s="1">
        <v>0.26</v>
      </c>
      <c r="P52">
        <f t="shared" si="8"/>
        <v>114.48343894744357</v>
      </c>
      <c r="Q52">
        <f t="shared" si="9"/>
        <v>113.67995453833524</v>
      </c>
      <c r="R52">
        <f t="shared" si="10"/>
        <v>114.67480656056955</v>
      </c>
    </row>
    <row r="53" spans="1:18" x14ac:dyDescent="0.25">
      <c r="A53">
        <v>27</v>
      </c>
      <c r="B53">
        <f t="shared" si="0"/>
        <v>3.7615868989512792E-5</v>
      </c>
      <c r="C53">
        <f t="shared" si="1"/>
        <v>34.110063352330414</v>
      </c>
      <c r="D53">
        <f t="shared" si="2"/>
        <v>80.47023135573771</v>
      </c>
      <c r="E53" s="7">
        <f t="shared" si="3"/>
        <v>133.58919017685795</v>
      </c>
      <c r="G53" s="8">
        <v>2.5999999999999999E-2</v>
      </c>
      <c r="H53">
        <f t="shared" si="4"/>
        <v>104.24930223301263</v>
      </c>
      <c r="I53">
        <f t="shared" si="5"/>
        <v>8.3868062057742918</v>
      </c>
      <c r="K53" s="8">
        <v>2.5999999999999999E-2</v>
      </c>
      <c r="L53">
        <f t="shared" si="6"/>
        <v>99.849352837640765</v>
      </c>
      <c r="M53">
        <f t="shared" si="7"/>
        <v>99.690599124976629</v>
      </c>
      <c r="O53" s="1">
        <v>0.27</v>
      </c>
      <c r="P53">
        <f t="shared" si="8"/>
        <v>115.85681052627196</v>
      </c>
      <c r="Q53">
        <f t="shared" si="9"/>
        <v>114.79963013315246</v>
      </c>
      <c r="R53">
        <f t="shared" si="10"/>
        <v>116.15373427452694</v>
      </c>
    </row>
    <row r="54" spans="1:18" x14ac:dyDescent="0.25">
      <c r="A54">
        <v>28</v>
      </c>
      <c r="B54">
        <f t="shared" si="0"/>
        <v>5.6288394040241341E-5</v>
      </c>
      <c r="C54">
        <f t="shared" si="1"/>
        <v>34.013148361456146</v>
      </c>
      <c r="D54">
        <f t="shared" si="2"/>
        <v>80.034303476432683</v>
      </c>
      <c r="E54" s="7">
        <f t="shared" si="3"/>
        <v>132.57167305077684</v>
      </c>
      <c r="G54" s="1">
        <v>2.7E-2</v>
      </c>
      <c r="H54">
        <f t="shared" si="4"/>
        <v>104.92820371245756</v>
      </c>
      <c r="I54">
        <f t="shared" si="5"/>
        <v>8.2031723652446136</v>
      </c>
      <c r="K54" s="1">
        <v>2.7E-2</v>
      </c>
      <c r="L54">
        <f t="shared" si="6"/>
        <v>98.694637134033059</v>
      </c>
      <c r="M54">
        <f t="shared" si="7"/>
        <v>98.478715484234101</v>
      </c>
      <c r="O54" s="1">
        <v>0.28000000000000003</v>
      </c>
      <c r="P54">
        <f t="shared" si="8"/>
        <v>117.25474807057256</v>
      </c>
      <c r="Q54">
        <f t="shared" si="9"/>
        <v>115.91930572796969</v>
      </c>
      <c r="R54">
        <f t="shared" si="10"/>
        <v>117.68793154527512</v>
      </c>
    </row>
    <row r="55" spans="1:18" x14ac:dyDescent="0.25">
      <c r="A55">
        <v>29</v>
      </c>
      <c r="B55">
        <f t="shared" si="0"/>
        <v>8.2567082660820108E-5</v>
      </c>
      <c r="C55">
        <f t="shared" si="1"/>
        <v>33.916233370581878</v>
      </c>
      <c r="D55">
        <f t="shared" si="2"/>
        <v>79.599619681121879</v>
      </c>
      <c r="E55" s="7">
        <f t="shared" si="3"/>
        <v>131.55966071664633</v>
      </c>
      <c r="G55" s="8">
        <v>2.8000000000000001E-2</v>
      </c>
      <c r="H55">
        <f t="shared" si="4"/>
        <v>105.60662849975557</v>
      </c>
      <c r="I55">
        <f t="shared" si="5"/>
        <v>8.0195385247149353</v>
      </c>
      <c r="K55" s="8">
        <v>2.8000000000000001E-2</v>
      </c>
      <c r="L55">
        <f t="shared" si="6"/>
        <v>97.548642919582051</v>
      </c>
      <c r="M55">
        <f t="shared" si="7"/>
        <v>97.266831843491559</v>
      </c>
      <c r="O55" s="1">
        <v>0.28999999999999998</v>
      </c>
      <c r="P55">
        <f t="shared" si="8"/>
        <v>118.67441107418328</v>
      </c>
      <c r="Q55">
        <f t="shared" si="9"/>
        <v>117.03898132278691</v>
      </c>
      <c r="R55">
        <f t="shared" si="10"/>
        <v>119.2773983728141</v>
      </c>
    </row>
    <row r="56" spans="1:18" x14ac:dyDescent="0.25">
      <c r="A56">
        <v>30</v>
      </c>
      <c r="B56">
        <f t="shared" si="0"/>
        <v>1.1890815317187452E-4</v>
      </c>
      <c r="C56">
        <f t="shared" si="1"/>
        <v>33.81931837970761</v>
      </c>
      <c r="D56">
        <f t="shared" si="2"/>
        <v>79.166179969805313</v>
      </c>
      <c r="E56" s="7">
        <f t="shared" si="3"/>
        <v>130.55313751009899</v>
      </c>
      <c r="G56" s="8">
        <v>2.9000000000000001E-2</v>
      </c>
      <c r="H56">
        <f t="shared" si="4"/>
        <v>106.28453974811063</v>
      </c>
      <c r="I56">
        <f t="shared" si="5"/>
        <v>7.8359046841852562</v>
      </c>
      <c r="K56" s="8">
        <v>2.9000000000000001E-2</v>
      </c>
      <c r="L56">
        <f t="shared" si="6"/>
        <v>96.411350336734415</v>
      </c>
      <c r="M56">
        <f t="shared" si="7"/>
        <v>96.054948202749017</v>
      </c>
      <c r="O56" s="1">
        <v>0.3</v>
      </c>
      <c r="P56">
        <f t="shared" si="8"/>
        <v>120.11323247066268</v>
      </c>
      <c r="Q56">
        <f t="shared" si="9"/>
        <v>118.15865691760413</v>
      </c>
      <c r="R56">
        <f t="shared" si="10"/>
        <v>120.92213475714387</v>
      </c>
    </row>
    <row r="57" spans="1:18" x14ac:dyDescent="0.25">
      <c r="A57">
        <v>31</v>
      </c>
      <c r="B57">
        <f t="shared" si="0"/>
        <v>1.6835923462130034E-4</v>
      </c>
      <c r="C57">
        <f t="shared" si="1"/>
        <v>33.722403388833342</v>
      </c>
      <c r="D57">
        <f t="shared" si="2"/>
        <v>78.733984342483012</v>
      </c>
      <c r="E57" s="7">
        <f t="shared" si="3"/>
        <v>129.55208776676733</v>
      </c>
      <c r="G57" s="1">
        <v>0.03</v>
      </c>
      <c r="H57">
        <f t="shared" si="4"/>
        <v>106.96190096943187</v>
      </c>
      <c r="I57">
        <f t="shared" si="5"/>
        <v>7.6522708436555789</v>
      </c>
      <c r="K57" s="1">
        <v>0.03</v>
      </c>
      <c r="L57">
        <f t="shared" si="6"/>
        <v>95.282739439453849</v>
      </c>
      <c r="M57">
        <f t="shared" si="7"/>
        <v>94.843064562006475</v>
      </c>
      <c r="O57" s="1">
        <v>0.31</v>
      </c>
      <c r="P57">
        <f t="shared" si="8"/>
        <v>121.56888799927684</v>
      </c>
      <c r="Q57">
        <f t="shared" si="9"/>
        <v>119.27833251242137</v>
      </c>
      <c r="R57">
        <f t="shared" si="10"/>
        <v>122.62214069826446</v>
      </c>
    </row>
    <row r="58" spans="1:18" x14ac:dyDescent="0.25">
      <c r="A58">
        <v>32</v>
      </c>
      <c r="B58">
        <f t="shared" si="0"/>
        <v>2.3465202475858029E-4</v>
      </c>
      <c r="C58">
        <f t="shared" si="1"/>
        <v>33.625488397959074</v>
      </c>
      <c r="D58">
        <f t="shared" si="2"/>
        <v>78.30303279915492</v>
      </c>
      <c r="E58" s="7">
        <f t="shared" si="3"/>
        <v>128.55649582228384</v>
      </c>
      <c r="G58" s="8">
        <v>3.1E-2</v>
      </c>
      <c r="H58">
        <f t="shared" si="4"/>
        <v>107.63867603985969</v>
      </c>
      <c r="I58">
        <f t="shared" si="5"/>
        <v>7.4686370031259006</v>
      </c>
      <c r="K58" s="8">
        <v>3.1E-2</v>
      </c>
      <c r="L58">
        <f t="shared" si="6"/>
        <v>94.162790186303283</v>
      </c>
      <c r="M58">
        <f t="shared" si="7"/>
        <v>93.631180921263933</v>
      </c>
      <c r="O58" s="1">
        <v>0.32</v>
      </c>
      <c r="P58">
        <f t="shared" si="8"/>
        <v>123.03926896070199</v>
      </c>
      <c r="Q58">
        <f t="shared" si="9"/>
        <v>120.3980081072386</v>
      </c>
      <c r="R58">
        <f t="shared" si="10"/>
        <v>124.37741619617582</v>
      </c>
    </row>
    <row r="59" spans="1:18" x14ac:dyDescent="0.25">
      <c r="A59">
        <v>33</v>
      </c>
      <c r="B59">
        <f t="shared" si="0"/>
        <v>3.2230033755891114E-4</v>
      </c>
      <c r="C59">
        <f t="shared" si="1"/>
        <v>33.528573407084806</v>
      </c>
      <c r="D59">
        <f t="shared" si="2"/>
        <v>77.873325339821093</v>
      </c>
      <c r="E59" s="7">
        <f t="shared" si="3"/>
        <v>127.56634601228103</v>
      </c>
      <c r="G59" s="8">
        <v>3.2000000000000001E-2</v>
      </c>
      <c r="H59">
        <f t="shared" si="4"/>
        <v>108.31482920509634</v>
      </c>
      <c r="I59">
        <f t="shared" si="5"/>
        <v>7.2850031625962224</v>
      </c>
      <c r="K59" s="8">
        <v>3.2000000000000001E-2</v>
      </c>
      <c r="L59">
        <f t="shared" si="6"/>
        <v>93.051482433578116</v>
      </c>
      <c r="M59">
        <f t="shared" si="7"/>
        <v>92.419297280521391</v>
      </c>
      <c r="O59" s="1">
        <v>0.33</v>
      </c>
      <c r="P59">
        <f t="shared" si="8"/>
        <v>124.52245811032726</v>
      </c>
      <c r="Q59">
        <f t="shared" si="9"/>
        <v>121.51768370205582</v>
      </c>
      <c r="R59">
        <f t="shared" si="10"/>
        <v>126.18796125087798</v>
      </c>
    </row>
    <row r="60" spans="1:18" x14ac:dyDescent="0.25">
      <c r="A60">
        <v>34</v>
      </c>
      <c r="B60">
        <f t="shared" si="0"/>
        <v>4.3670265047280298E-4</v>
      </c>
      <c r="C60">
        <f t="shared" si="1"/>
        <v>33.431658416210539</v>
      </c>
      <c r="D60">
        <f t="shared" si="2"/>
        <v>77.444861964481504</v>
      </c>
      <c r="E60" s="7">
        <f t="shared" si="3"/>
        <v>126.58162267239143</v>
      </c>
      <c r="G60" s="1">
        <v>3.3000000000000002E-2</v>
      </c>
      <c r="H60">
        <f t="shared" si="4"/>
        <v>108.990325085541</v>
      </c>
      <c r="I60">
        <f t="shared" si="5"/>
        <v>7.1013693220665441</v>
      </c>
      <c r="K60" s="1">
        <v>3.3000000000000002E-2</v>
      </c>
      <c r="L60">
        <f t="shared" si="6"/>
        <v>91.948795928493126</v>
      </c>
      <c r="M60">
        <f t="shared" si="7"/>
        <v>91.207413639778864</v>
      </c>
      <c r="O60" s="1">
        <v>0.34</v>
      </c>
      <c r="P60">
        <f t="shared" si="8"/>
        <v>126.01670839787153</v>
      </c>
      <c r="Q60">
        <f t="shared" si="9"/>
        <v>122.63735929687306</v>
      </c>
      <c r="R60">
        <f t="shared" si="10"/>
        <v>128.05377586237094</v>
      </c>
    </row>
    <row r="61" spans="1:18" x14ac:dyDescent="0.25">
      <c r="A61">
        <v>35</v>
      </c>
      <c r="B61">
        <f t="shared" si="0"/>
        <v>5.8424816917873861E-4</v>
      </c>
      <c r="C61">
        <f t="shared" si="1"/>
        <v>33.334743425336271</v>
      </c>
      <c r="D61">
        <f t="shared" si="2"/>
        <v>77.017642673136152</v>
      </c>
      <c r="E61" s="7">
        <f t="shared" si="3"/>
        <v>125.60231013824756</v>
      </c>
      <c r="G61" s="8">
        <v>3.4000000000000002E-2</v>
      </c>
      <c r="H61">
        <f t="shared" si="4"/>
        <v>109.66512868122896</v>
      </c>
      <c r="I61">
        <f t="shared" si="5"/>
        <v>6.9177354815368659</v>
      </c>
      <c r="K61" s="8">
        <v>3.4000000000000002E-2</v>
      </c>
      <c r="L61">
        <f t="shared" si="6"/>
        <v>90.854710302427051</v>
      </c>
      <c r="M61">
        <f t="shared" si="7"/>
        <v>89.995529999036322</v>
      </c>
      <c r="O61" s="1">
        <v>0.35</v>
      </c>
      <c r="P61">
        <f t="shared" si="8"/>
        <v>127.52042425469112</v>
      </c>
      <c r="Q61">
        <f t="shared" si="9"/>
        <v>123.75703489169027</v>
      </c>
      <c r="R61">
        <f t="shared" si="10"/>
        <v>129.97486003065467</v>
      </c>
    </row>
    <row r="62" spans="1:18" x14ac:dyDescent="0.25">
      <c r="A62">
        <v>36</v>
      </c>
      <c r="B62">
        <f t="shared" si="0"/>
        <v>7.724253589246723E-4</v>
      </c>
      <c r="C62">
        <f t="shared" si="1"/>
        <v>33.237828434462003</v>
      </c>
      <c r="D62">
        <f t="shared" si="2"/>
        <v>76.591667465785036</v>
      </c>
      <c r="E62" s="7">
        <f t="shared" si="3"/>
        <v>124.6283927454819</v>
      </c>
      <c r="G62" s="8">
        <v>3.5000000000000003E-2</v>
      </c>
      <c r="H62">
        <f t="shared" si="4"/>
        <v>110.33920537657471</v>
      </c>
      <c r="I62">
        <f t="shared" si="5"/>
        <v>6.7341016410071877</v>
      </c>
      <c r="K62" s="8">
        <v>3.5000000000000003E-2</v>
      </c>
      <c r="L62">
        <f t="shared" si="6"/>
        <v>89.76920506422897</v>
      </c>
      <c r="M62">
        <f t="shared" si="7"/>
        <v>88.78364635829378</v>
      </c>
      <c r="O62" s="1">
        <v>0.36</v>
      </c>
      <c r="P62">
        <f t="shared" si="8"/>
        <v>129.03214514086585</v>
      </c>
      <c r="Q62">
        <f t="shared" si="9"/>
        <v>124.87671048650751</v>
      </c>
      <c r="R62">
        <f t="shared" si="10"/>
        <v>131.95121375572924</v>
      </c>
    </row>
    <row r="63" spans="1:18" x14ac:dyDescent="0.25">
      <c r="A63">
        <v>37</v>
      </c>
      <c r="B63">
        <f t="shared" si="0"/>
        <v>1.0099318465371897E-3</v>
      </c>
      <c r="C63">
        <f t="shared" si="1"/>
        <v>33.140913443587742</v>
      </c>
      <c r="D63">
        <f t="shared" si="2"/>
        <v>76.166936342428187</v>
      </c>
      <c r="E63" s="7">
        <f t="shared" si="3"/>
        <v>123.65985482972701</v>
      </c>
      <c r="G63" s="1">
        <v>3.5999999999999997E-2</v>
      </c>
      <c r="H63">
        <f t="shared" si="4"/>
        <v>111.01252094491983</v>
      </c>
      <c r="I63">
        <f t="shared" si="5"/>
        <v>6.5504678004775112</v>
      </c>
      <c r="K63" s="1">
        <v>3.5999999999999997E-2</v>
      </c>
      <c r="L63">
        <f t="shared" si="6"/>
        <v>88.692259593588503</v>
      </c>
      <c r="M63">
        <f t="shared" si="7"/>
        <v>87.571762717551252</v>
      </c>
      <c r="O63" s="1">
        <v>0.37</v>
      </c>
      <c r="P63">
        <f t="shared" si="8"/>
        <v>130.55053108434561</v>
      </c>
      <c r="Q63">
        <f t="shared" si="9"/>
        <v>125.99638608132473</v>
      </c>
      <c r="R63">
        <f t="shared" si="10"/>
        <v>133.98283703759458</v>
      </c>
    </row>
    <row r="64" spans="1:18" x14ac:dyDescent="0.25">
      <c r="A64">
        <v>38</v>
      </c>
      <c r="B64">
        <f t="shared" si="0"/>
        <v>1.3067845751106675E-3</v>
      </c>
      <c r="C64">
        <f t="shared" si="1"/>
        <v>33.043998452713474</v>
      </c>
      <c r="D64">
        <f t="shared" si="2"/>
        <v>75.74344930306556</v>
      </c>
      <c r="E64" s="7">
        <f t="shared" si="3"/>
        <v>122.69668072661537</v>
      </c>
      <c r="G64" s="8">
        <v>3.6999999999999998E-2</v>
      </c>
      <c r="H64">
        <f t="shared" si="4"/>
        <v>111.68504155288466</v>
      </c>
      <c r="I64">
        <f t="shared" si="5"/>
        <v>6.366833959947833</v>
      </c>
      <c r="K64" s="8">
        <v>3.6999999999999998E-2</v>
      </c>
      <c r="L64">
        <f t="shared" si="6"/>
        <v>87.623853134474814</v>
      </c>
      <c r="M64">
        <f t="shared" si="7"/>
        <v>86.35987907680871</v>
      </c>
      <c r="O64" s="1">
        <v>0.38</v>
      </c>
      <c r="P64">
        <f t="shared" si="8"/>
        <v>132.07434996888816</v>
      </c>
      <c r="Q64">
        <f t="shared" si="9"/>
        <v>127.11606167614195</v>
      </c>
      <c r="R64">
        <f t="shared" si="10"/>
        <v>136.0697298762507</v>
      </c>
    </row>
    <row r="65" spans="1:18" x14ac:dyDescent="0.25">
      <c r="A65">
        <v>39</v>
      </c>
      <c r="B65">
        <f t="shared" si="0"/>
        <v>1.6744290929293932E-3</v>
      </c>
      <c r="C65">
        <f t="shared" si="1"/>
        <v>32.947083461839206</v>
      </c>
      <c r="D65">
        <f t="shared" si="2"/>
        <v>75.321206347697171</v>
      </c>
      <c r="E65" s="7">
        <f t="shared" si="3"/>
        <v>121.7388547717795</v>
      </c>
      <c r="G65" s="8">
        <v>3.7999999999999999E-2</v>
      </c>
      <c r="H65">
        <f t="shared" si="4"/>
        <v>112.35673376452556</v>
      </c>
      <c r="I65">
        <f t="shared" si="5"/>
        <v>6.1832001194181547</v>
      </c>
      <c r="K65" s="8">
        <v>3.7999999999999999E-2</v>
      </c>
      <c r="L65">
        <f t="shared" si="6"/>
        <v>86.563964788647539</v>
      </c>
      <c r="M65">
        <f t="shared" si="7"/>
        <v>85.147995436066168</v>
      </c>
      <c r="O65" s="1">
        <v>0.39</v>
      </c>
      <c r="P65">
        <f t="shared" si="8"/>
        <v>133.60246635309292</v>
      </c>
      <c r="Q65">
        <f t="shared" si="9"/>
        <v>128.23573727095919</v>
      </c>
      <c r="R65">
        <f t="shared" si="10"/>
        <v>138.21189227169765</v>
      </c>
    </row>
    <row r="66" spans="1:18" x14ac:dyDescent="0.25">
      <c r="A66">
        <v>40</v>
      </c>
      <c r="B66">
        <f t="shared" si="0"/>
        <v>2.1258468775455681E-3</v>
      </c>
      <c r="C66">
        <f t="shared" si="1"/>
        <v>32.850168470964945</v>
      </c>
      <c r="D66">
        <f t="shared" si="2"/>
        <v>74.900207476323033</v>
      </c>
      <c r="E66" s="7">
        <f t="shared" si="3"/>
        <v>120.78636130085189</v>
      </c>
      <c r="G66" s="1">
        <v>3.9E-2</v>
      </c>
      <c r="H66">
        <f t="shared" si="4"/>
        <v>113.02756454529654</v>
      </c>
      <c r="I66">
        <f t="shared" si="5"/>
        <v>5.9995662788884765</v>
      </c>
      <c r="K66" s="1">
        <v>3.9E-2</v>
      </c>
      <c r="L66">
        <f t="shared" si="6"/>
        <v>85.512573509242486</v>
      </c>
      <c r="M66">
        <f t="shared" si="7"/>
        <v>83.936111795323626</v>
      </c>
      <c r="O66" s="1">
        <v>0.4</v>
      </c>
      <c r="P66">
        <f t="shared" si="8"/>
        <v>135.13383162774977</v>
      </c>
      <c r="Q66">
        <f t="shared" si="9"/>
        <v>129.35541286577643</v>
      </c>
      <c r="R66">
        <f t="shared" si="10"/>
        <v>140.40932422393539</v>
      </c>
    </row>
    <row r="67" spans="1:18" x14ac:dyDescent="0.25">
      <c r="A67">
        <v>41</v>
      </c>
      <c r="B67">
        <f t="shared" si="0"/>
        <v>2.6756596330408146E-3</v>
      </c>
      <c r="C67">
        <f t="shared" si="1"/>
        <v>32.753253480090677</v>
      </c>
      <c r="D67">
        <f t="shared" si="2"/>
        <v>74.480452688943132</v>
      </c>
      <c r="E67" s="7">
        <f t="shared" si="3"/>
        <v>119.83918464946512</v>
      </c>
      <c r="G67" s="8">
        <v>0.04</v>
      </c>
      <c r="H67">
        <f t="shared" si="4"/>
        <v>113.69750126581758</v>
      </c>
      <c r="I67">
        <f t="shared" si="5"/>
        <v>5.8159324383587983</v>
      </c>
      <c r="K67" s="8">
        <v>0.04</v>
      </c>
      <c r="L67">
        <f t="shared" si="6"/>
        <v>84.469658094436596</v>
      </c>
      <c r="M67">
        <f t="shared" si="7"/>
        <v>82.724228154581084</v>
      </c>
      <c r="O67" s="1">
        <v>0.41</v>
      </c>
      <c r="P67">
        <f t="shared" si="8"/>
        <v>136.66747534200843</v>
      </c>
      <c r="Q67">
        <f t="shared" si="9"/>
        <v>130.47508846059364</v>
      </c>
      <c r="R67">
        <f t="shared" si="10"/>
        <v>142.66202573296388</v>
      </c>
    </row>
    <row r="68" spans="1:18" x14ac:dyDescent="0.25">
      <c r="A68">
        <v>42</v>
      </c>
      <c r="B68">
        <f t="shared" si="0"/>
        <v>3.3402295510364458E-3</v>
      </c>
      <c r="C68">
        <f t="shared" si="1"/>
        <v>32.656338489216409</v>
      </c>
      <c r="D68">
        <f t="shared" si="2"/>
        <v>74.061941985557468</v>
      </c>
      <c r="E68" s="7">
        <f t="shared" si="3"/>
        <v>118.89730915325163</v>
      </c>
      <c r="G68" s="8">
        <v>4.1000000000000002E-2</v>
      </c>
      <c r="H68">
        <f t="shared" si="4"/>
        <v>114.3665117054486</v>
      </c>
      <c r="I68">
        <f t="shared" si="5"/>
        <v>5.63229859782912</v>
      </c>
      <c r="K68" s="8">
        <v>4.1000000000000002E-2</v>
      </c>
      <c r="L68">
        <f t="shared" si="6"/>
        <v>83.435197181195093</v>
      </c>
      <c r="M68">
        <f t="shared" si="7"/>
        <v>81.512344513838542</v>
      </c>
      <c r="O68" s="1">
        <v>0.42</v>
      </c>
      <c r="P68">
        <f t="shared" si="8"/>
        <v>138.20249755008422</v>
      </c>
      <c r="Q68">
        <f t="shared" si="9"/>
        <v>131.59476405541088</v>
      </c>
      <c r="R68">
        <f t="shared" si="10"/>
        <v>144.96999679878323</v>
      </c>
    </row>
    <row r="69" spans="1:18" x14ac:dyDescent="0.25">
      <c r="A69">
        <v>43</v>
      </c>
      <c r="B69">
        <f t="shared" si="0"/>
        <v>4.1377545915973826E-3</v>
      </c>
      <c r="C69">
        <f t="shared" si="1"/>
        <v>32.559423498342142</v>
      </c>
      <c r="D69">
        <f t="shared" si="2"/>
        <v>73.644675366166055</v>
      </c>
      <c r="E69" s="7">
        <f t="shared" si="3"/>
        <v>117.96071914784397</v>
      </c>
      <c r="G69" s="1">
        <v>4.2000000000000003E-2</v>
      </c>
      <c r="H69">
        <f t="shared" si="4"/>
        <v>115.03456405567138</v>
      </c>
      <c r="I69">
        <f t="shared" si="5"/>
        <v>5.4486647572994418</v>
      </c>
      <c r="K69" s="1">
        <v>4.2000000000000003E-2</v>
      </c>
      <c r="L69">
        <f t="shared" si="6"/>
        <v>82.409169239104187</v>
      </c>
      <c r="M69">
        <f t="shared" si="7"/>
        <v>80.300460873096</v>
      </c>
      <c r="O69" s="1">
        <v>0.43</v>
      </c>
      <c r="P69">
        <f t="shared" si="8"/>
        <v>139.73806204920709</v>
      </c>
      <c r="Q69">
        <f t="shared" si="9"/>
        <v>132.71443965022809</v>
      </c>
      <c r="R69">
        <f t="shared" si="10"/>
        <v>147.33323742139331</v>
      </c>
    </row>
    <row r="70" spans="1:18" x14ac:dyDescent="0.25">
      <c r="A70">
        <v>44</v>
      </c>
      <c r="B70">
        <f t="shared" si="0"/>
        <v>5.0883579163724449E-3</v>
      </c>
      <c r="C70">
        <f t="shared" si="1"/>
        <v>32.462508507467874</v>
      </c>
      <c r="D70">
        <f t="shared" si="2"/>
        <v>73.22865283076888</v>
      </c>
      <c r="E70" s="7">
        <f t="shared" si="3"/>
        <v>117.02939896887466</v>
      </c>
      <c r="G70" s="8">
        <v>4.2999999999999997E-2</v>
      </c>
      <c r="H70">
        <f t="shared" si="4"/>
        <v>115.70162692327926</v>
      </c>
      <c r="I70">
        <f t="shared" si="5"/>
        <v>5.2650309167697644</v>
      </c>
      <c r="K70" s="8">
        <v>4.2999999999999997E-2</v>
      </c>
      <c r="L70">
        <f t="shared" si="6"/>
        <v>81.391552564292965</v>
      </c>
      <c r="M70">
        <f t="shared" si="7"/>
        <v>79.088577232353472</v>
      </c>
      <c r="O70" s="1">
        <v>0.44</v>
      </c>
      <c r="P70">
        <f t="shared" si="8"/>
        <v>141.2733903963196</v>
      </c>
      <c r="Q70">
        <f t="shared" si="9"/>
        <v>133.83411524504533</v>
      </c>
      <c r="R70">
        <f t="shared" si="10"/>
        <v>149.75174760079423</v>
      </c>
    </row>
    <row r="71" spans="1:18" x14ac:dyDescent="0.25">
      <c r="A71">
        <v>45</v>
      </c>
      <c r="B71">
        <f t="shared" si="0"/>
        <v>6.2141706907826652E-3</v>
      </c>
      <c r="C71">
        <f t="shared" si="1"/>
        <v>32.365593516593606</v>
      </c>
      <c r="D71">
        <f t="shared" si="2"/>
        <v>72.813874379365942</v>
      </c>
      <c r="E71" s="7">
        <f t="shared" si="3"/>
        <v>116.10333295197617</v>
      </c>
      <c r="G71" s="8">
        <v>4.3999999999999997E-2</v>
      </c>
      <c r="H71">
        <f t="shared" si="4"/>
        <v>116.3676693333758</v>
      </c>
      <c r="I71">
        <f t="shared" si="5"/>
        <v>5.0813970762400862</v>
      </c>
      <c r="K71" s="8">
        <v>4.3999999999999997E-2</v>
      </c>
      <c r="L71">
        <f t="shared" si="6"/>
        <v>80.382325273448018</v>
      </c>
      <c r="M71">
        <f t="shared" si="7"/>
        <v>77.87669359161093</v>
      </c>
      <c r="O71" s="1">
        <v>0.45</v>
      </c>
      <c r="P71">
        <f t="shared" si="8"/>
        <v>142.80775660577507</v>
      </c>
      <c r="Q71">
        <f t="shared" si="9"/>
        <v>134.95379083986256</v>
      </c>
      <c r="R71">
        <f t="shared" si="10"/>
        <v>152.22552733698595</v>
      </c>
    </row>
    <row r="72" spans="1:18" x14ac:dyDescent="0.25">
      <c r="A72">
        <v>46</v>
      </c>
      <c r="B72">
        <f t="shared" si="0"/>
        <v>7.5394075625491233E-3</v>
      </c>
      <c r="C72">
        <f t="shared" si="1"/>
        <v>32.268678525719338</v>
      </c>
      <c r="D72">
        <f t="shared" si="2"/>
        <v>72.40034001195724</v>
      </c>
      <c r="E72" s="7">
        <f t="shared" si="3"/>
        <v>115.18250543278106</v>
      </c>
      <c r="G72" s="1">
        <v>4.4999999999999998E-2</v>
      </c>
      <c r="H72">
        <f t="shared" si="4"/>
        <v>117.03266073218438</v>
      </c>
      <c r="I72">
        <f t="shared" si="5"/>
        <v>4.8977632357104079</v>
      </c>
      <c r="K72" s="1">
        <v>4.4999999999999998E-2</v>
      </c>
      <c r="L72">
        <f t="shared" si="6"/>
        <v>79.381465297923555</v>
      </c>
      <c r="M72">
        <f t="shared" si="7"/>
        <v>76.664809950868403</v>
      </c>
      <c r="O72" s="1">
        <v>0.46</v>
      </c>
      <c r="P72">
        <f t="shared" si="8"/>
        <v>144.34048244314965</v>
      </c>
      <c r="Q72">
        <f t="shared" si="9"/>
        <v>136.07346643467977</v>
      </c>
      <c r="R72">
        <f t="shared" si="10"/>
        <v>154.75457662996843</v>
      </c>
    </row>
    <row r="73" spans="1:18" x14ac:dyDescent="0.25">
      <c r="A73">
        <v>47</v>
      </c>
      <c r="B73">
        <f t="shared" si="0"/>
        <v>9.0904342182535625E-3</v>
      </c>
      <c r="C73">
        <f t="shared" si="1"/>
        <v>32.17176353484507</v>
      </c>
      <c r="D73">
        <f t="shared" si="2"/>
        <v>71.988049728542791</v>
      </c>
      <c r="E73" s="7">
        <f t="shared" si="3"/>
        <v>114.26690074692183</v>
      </c>
      <c r="G73" s="8">
        <v>4.5999999999999999E-2</v>
      </c>
      <c r="H73">
        <f t="shared" si="4"/>
        <v>117.69657098966849</v>
      </c>
      <c r="I73">
        <f t="shared" si="5"/>
        <v>4.7141293951807306</v>
      </c>
      <c r="K73" s="8">
        <v>4.5999999999999999E-2</v>
      </c>
      <c r="L73">
        <f t="shared" si="6"/>
        <v>78.388950377951247</v>
      </c>
      <c r="M73">
        <f t="shared" si="7"/>
        <v>75.452926310125861</v>
      </c>
      <c r="O73" s="1">
        <v>0.47</v>
      </c>
      <c r="P73">
        <f t="shared" si="8"/>
        <v>145.87093324146065</v>
      </c>
      <c r="Q73">
        <f t="shared" si="9"/>
        <v>137.19314202949701</v>
      </c>
      <c r="R73">
        <f t="shared" si="10"/>
        <v>157.33889547974172</v>
      </c>
    </row>
    <row r="74" spans="1:18" x14ac:dyDescent="0.25">
      <c r="A74">
        <v>48</v>
      </c>
      <c r="B74">
        <f t="shared" si="0"/>
        <v>1.0895826516017573E-2</v>
      </c>
      <c r="C74">
        <f t="shared" si="1"/>
        <v>32.074848543970802</v>
      </c>
      <c r="D74">
        <f t="shared" si="2"/>
        <v>71.577003529122578</v>
      </c>
      <c r="E74" s="7">
        <f t="shared" si="3"/>
        <v>113.356503230031</v>
      </c>
      <c r="G74" s="8">
        <v>4.7E-2</v>
      </c>
      <c r="H74">
        <f t="shared" si="4"/>
        <v>118.35937040196504</v>
      </c>
      <c r="I74">
        <f t="shared" si="5"/>
        <v>4.5304955546510524</v>
      </c>
      <c r="K74" s="8">
        <v>4.7E-2</v>
      </c>
      <c r="L74">
        <f t="shared" si="6"/>
        <v>77.40475805695209</v>
      </c>
      <c r="M74">
        <f t="shared" si="7"/>
        <v>74.241042669383319</v>
      </c>
      <c r="O74" s="1">
        <v>0.48</v>
      </c>
      <c r="P74">
        <f t="shared" si="8"/>
        <v>147.39851417577432</v>
      </c>
      <c r="Q74">
        <f t="shared" si="9"/>
        <v>138.31281762431422</v>
      </c>
      <c r="R74">
        <f t="shared" si="10"/>
        <v>159.97848388630578</v>
      </c>
    </row>
    <row r="75" spans="1:18" x14ac:dyDescent="0.25">
      <c r="A75">
        <v>49</v>
      </c>
      <c r="B75">
        <f t="shared" si="0"/>
        <v>1.298642078906366E-2</v>
      </c>
      <c r="C75">
        <f t="shared" si="1"/>
        <v>31.977933553096541</v>
      </c>
      <c r="D75">
        <f t="shared" si="2"/>
        <v>71.167201413696617</v>
      </c>
      <c r="E75" s="7">
        <f t="shared" si="3"/>
        <v>112.45129721774106</v>
      </c>
      <c r="G75" s="1">
        <v>4.8000000000000001E-2</v>
      </c>
      <c r="H75">
        <f t="shared" si="4"/>
        <v>119.02102969363193</v>
      </c>
      <c r="I75">
        <f t="shared" si="5"/>
        <v>4.3468617141213741</v>
      </c>
      <c r="K75" s="1">
        <v>4.8000000000000001E-2</v>
      </c>
      <c r="L75">
        <f t="shared" si="6"/>
        <v>76.428865675954398</v>
      </c>
      <c r="M75">
        <f t="shared" si="7"/>
        <v>73.029159028640777</v>
      </c>
      <c r="O75" s="1">
        <v>0.49</v>
      </c>
      <c r="P75">
        <f t="shared" si="8"/>
        <v>148.9226669405671</v>
      </c>
      <c r="Q75">
        <f t="shared" si="9"/>
        <v>139.43249321913146</v>
      </c>
      <c r="R75">
        <f t="shared" si="10"/>
        <v>162.67334184966066</v>
      </c>
    </row>
    <row r="76" spans="1:18" x14ac:dyDescent="0.25">
      <c r="A76">
        <v>50</v>
      </c>
      <c r="B76">
        <f t="shared" si="0"/>
        <v>1.539535501035301E-2</v>
      </c>
      <c r="C76">
        <f t="shared" si="1"/>
        <v>31.881018562222273</v>
      </c>
      <c r="D76">
        <f t="shared" si="2"/>
        <v>70.758643382264893</v>
      </c>
      <c r="E76" s="7">
        <f t="shared" si="3"/>
        <v>111.55126704568454</v>
      </c>
      <c r="G76" s="8">
        <v>4.9000000000000002E-2</v>
      </c>
      <c r="H76">
        <f t="shared" si="4"/>
        <v>119.681520019711</v>
      </c>
      <c r="I76">
        <f t="shared" si="5"/>
        <v>4.1632278735916959</v>
      </c>
      <c r="K76" s="8">
        <v>4.9000000000000002E-2</v>
      </c>
      <c r="L76">
        <f t="shared" si="6"/>
        <v>75.461250368120517</v>
      </c>
      <c r="M76">
        <f t="shared" si="7"/>
        <v>71.817275387898235</v>
      </c>
      <c r="O76" s="1">
        <v>0.5</v>
      </c>
      <c r="P76">
        <f t="shared" si="8"/>
        <v>150.44286678145076</v>
      </c>
      <c r="Q76">
        <f t="shared" si="9"/>
        <v>140.5521688139487</v>
      </c>
      <c r="R76">
        <f t="shared" si="10"/>
        <v>165.42346936980636</v>
      </c>
    </row>
    <row r="77" spans="1:18" x14ac:dyDescent="0.25">
      <c r="A77">
        <v>51</v>
      </c>
      <c r="B77">
        <f t="shared" si="0"/>
        <v>1.8158100601387756E-2</v>
      </c>
      <c r="C77">
        <f t="shared" si="1"/>
        <v>31.784103571348005</v>
      </c>
      <c r="D77">
        <f t="shared" si="2"/>
        <v>70.351329434827392</v>
      </c>
      <c r="E77" s="7">
        <f t="shared" si="3"/>
        <v>110.65639704949393</v>
      </c>
      <c r="G77" s="8">
        <v>0.05</v>
      </c>
      <c r="H77">
        <f t="shared" si="4"/>
        <v>120.34081296760843</v>
      </c>
      <c r="I77">
        <f t="shared" si="5"/>
        <v>3.9795940330620172</v>
      </c>
      <c r="K77" s="8">
        <v>0.05</v>
      </c>
      <c r="L77">
        <f t="shared" si="6"/>
        <v>74.501889053385781</v>
      </c>
      <c r="M77">
        <f t="shared" si="7"/>
        <v>70.605391747155693</v>
      </c>
    </row>
    <row r="78" spans="1:18" x14ac:dyDescent="0.25">
      <c r="A78">
        <v>52</v>
      </c>
      <c r="B78">
        <f t="shared" si="0"/>
        <v>2.1312484757523065E-2</v>
      </c>
      <c r="C78">
        <f t="shared" si="1"/>
        <v>31.687188580473741</v>
      </c>
      <c r="D78">
        <f t="shared" si="2"/>
        <v>69.945259571384156</v>
      </c>
      <c r="E78" s="7">
        <f t="shared" si="3"/>
        <v>109.76667156480178</v>
      </c>
      <c r="G78" s="1">
        <v>5.0999999999999997E-2</v>
      </c>
      <c r="H78">
        <f t="shared" si="4"/>
        <v>120.99888055879362</v>
      </c>
      <c r="I78">
        <f t="shared" si="5"/>
        <v>3.7959601925323403</v>
      </c>
      <c r="K78" s="1">
        <v>5.0999999999999997E-2</v>
      </c>
      <c r="L78">
        <f t="shared" si="6"/>
        <v>73.550758433212636</v>
      </c>
      <c r="M78">
        <f t="shared" si="7"/>
        <v>69.393508106413165</v>
      </c>
    </row>
    <row r="79" spans="1:18" x14ac:dyDescent="0.25">
      <c r="A79">
        <v>53</v>
      </c>
      <c r="B79">
        <f t="shared" si="0"/>
        <v>2.4898703246847453E-2</v>
      </c>
      <c r="C79">
        <f t="shared" si="1"/>
        <v>31.590273589599473</v>
      </c>
      <c r="D79">
        <f t="shared" si="2"/>
        <v>69.540433791935158</v>
      </c>
      <c r="E79" s="7">
        <f t="shared" si="3"/>
        <v>108.88207492724061</v>
      </c>
      <c r="G79" s="8">
        <v>5.1999999999999998E-2</v>
      </c>
      <c r="H79">
        <f t="shared" si="4"/>
        <v>121.65569525031896</v>
      </c>
      <c r="I79">
        <f t="shared" si="5"/>
        <v>3.6123263520026621</v>
      </c>
      <c r="K79" s="8">
        <v>5.1999999999999998E-2</v>
      </c>
      <c r="L79">
        <f t="shared" si="6"/>
        <v>72.607834985463086</v>
      </c>
      <c r="M79">
        <f t="shared" si="7"/>
        <v>68.181624465670609</v>
      </c>
    </row>
    <row r="80" spans="1:18" x14ac:dyDescent="0.25">
      <c r="A80">
        <v>54</v>
      </c>
      <c r="B80">
        <f t="shared" si="0"/>
        <v>2.8959323719144614E-2</v>
      </c>
      <c r="C80">
        <f t="shared" si="1"/>
        <v>31.493358598725205</v>
      </c>
      <c r="D80">
        <f t="shared" si="2"/>
        <v>69.136852096480382</v>
      </c>
      <c r="E80" s="7">
        <f t="shared" si="3"/>
        <v>108.00259147244287</v>
      </c>
      <c r="G80" s="8">
        <v>5.2999999999999999E-2</v>
      </c>
      <c r="H80">
        <f t="shared" si="4"/>
        <v>122.31122993616199</v>
      </c>
      <c r="I80">
        <f t="shared" si="5"/>
        <v>3.4286925114729838</v>
      </c>
      <c r="K80" s="8">
        <v>5.2999999999999999E-2</v>
      </c>
      <c r="L80">
        <f t="shared" si="6"/>
        <v>71.673094959392515</v>
      </c>
      <c r="M80">
        <f t="shared" si="7"/>
        <v>66.969740824928067</v>
      </c>
    </row>
    <row r="81" spans="1:13" x14ac:dyDescent="0.25">
      <c r="A81">
        <v>55</v>
      </c>
      <c r="B81">
        <f t="shared" si="0"/>
        <v>3.3539279635136726E-2</v>
      </c>
      <c r="C81">
        <f t="shared" si="1"/>
        <v>31.396443607850941</v>
      </c>
      <c r="D81">
        <f t="shared" si="2"/>
        <v>68.734514485019872</v>
      </c>
      <c r="E81" s="7">
        <f t="shared" si="3"/>
        <v>107.12820553604112</v>
      </c>
      <c r="G81" s="1">
        <v>5.3999999999999999E-2</v>
      </c>
      <c r="H81">
        <f t="shared" si="4"/>
        <v>122.96545794839196</v>
      </c>
      <c r="I81">
        <f t="shared" si="5"/>
        <v>3.2450586709433056</v>
      </c>
      <c r="K81" s="1">
        <v>5.3999999999999999E-2</v>
      </c>
      <c r="L81">
        <f t="shared" si="6"/>
        <v>70.74651437076767</v>
      </c>
      <c r="M81">
        <f t="shared" si="7"/>
        <v>65.757857184185539</v>
      </c>
    </row>
    <row r="82" spans="1:13" x14ac:dyDescent="0.25">
      <c r="A82">
        <v>56</v>
      </c>
      <c r="B82">
        <f t="shared" si="0"/>
        <v>3.868585499368099E-2</v>
      </c>
      <c r="C82">
        <f t="shared" si="1"/>
        <v>31.299528616976673</v>
      </c>
      <c r="D82">
        <f t="shared" si="2"/>
        <v>68.333420957553585</v>
      </c>
      <c r="E82" s="7">
        <f t="shared" si="3"/>
        <v>106.25890145366787</v>
      </c>
      <c r="G82" s="8">
        <v>5.5E-2</v>
      </c>
      <c r="H82">
        <f t="shared" si="4"/>
        <v>123.61835305816243</v>
      </c>
      <c r="I82">
        <f t="shared" si="5"/>
        <v>3.0614248304136273</v>
      </c>
      <c r="K82" s="8">
        <v>5.5E-2</v>
      </c>
      <c r="L82">
        <f t="shared" si="6"/>
        <v>69.828068997111586</v>
      </c>
      <c r="M82">
        <f t="shared" si="7"/>
        <v>64.545973543442997</v>
      </c>
    </row>
    <row r="83" spans="1:13" x14ac:dyDescent="0.25">
      <c r="A83">
        <v>57</v>
      </c>
      <c r="B83">
        <f t="shared" si="0"/>
        <v>4.4448660095686376E-2</v>
      </c>
      <c r="C83">
        <f t="shared" si="1"/>
        <v>31.202613626102405</v>
      </c>
      <c r="D83">
        <f t="shared" si="2"/>
        <v>67.933571514081549</v>
      </c>
      <c r="E83" s="7">
        <f t="shared" si="3"/>
        <v>105.39466356095565</v>
      </c>
      <c r="G83" s="8">
        <v>5.6000000000000001E-2</v>
      </c>
      <c r="H83">
        <f t="shared" si="4"/>
        <v>124.26988947653271</v>
      </c>
      <c r="I83">
        <f t="shared" si="5"/>
        <v>2.8777909898839491</v>
      </c>
      <c r="K83" s="8">
        <v>5.6000000000000001E-2</v>
      </c>
      <c r="L83">
        <f t="shared" si="6"/>
        <v>68.917734373079085</v>
      </c>
      <c r="M83">
        <f t="shared" si="7"/>
        <v>63.334089902700455</v>
      </c>
    </row>
    <row r="84" spans="1:13" x14ac:dyDescent="0.25">
      <c r="A84">
        <v>58</v>
      </c>
      <c r="B84">
        <f t="shared" si="0"/>
        <v>5.0879598638036427E-2</v>
      </c>
      <c r="C84">
        <f t="shared" si="1"/>
        <v>31.105698635228137</v>
      </c>
      <c r="D84">
        <f t="shared" si="2"/>
        <v>67.534966154603751</v>
      </c>
      <c r="E84" s="7">
        <f t="shared" si="3"/>
        <v>104.53547619353694</v>
      </c>
      <c r="G84" s="1">
        <v>5.7000000000000002E-2</v>
      </c>
      <c r="H84">
        <f t="shared" si="4"/>
        <v>124.92004185511968</v>
      </c>
      <c r="I84">
        <f t="shared" si="5"/>
        <v>2.6941571493542709</v>
      </c>
      <c r="K84" s="1">
        <v>5.7000000000000002E-2</v>
      </c>
      <c r="L84">
        <f t="shared" si="6"/>
        <v>68.015485785964259</v>
      </c>
      <c r="M84">
        <f t="shared" si="7"/>
        <v>62.122206261957921</v>
      </c>
    </row>
    <row r="85" spans="1:13" x14ac:dyDescent="0.25">
      <c r="A85">
        <v>59</v>
      </c>
      <c r="B85">
        <f t="shared" si="0"/>
        <v>5.8032826478814581E-2</v>
      </c>
      <c r="C85">
        <f t="shared" si="1"/>
        <v>31.008783644353873</v>
      </c>
      <c r="D85">
        <f t="shared" si="2"/>
        <v>67.13760487912019</v>
      </c>
      <c r="E85" s="7">
        <f t="shared" si="3"/>
        <v>103.68132368704426</v>
      </c>
      <c r="G85" s="8">
        <v>5.8000000000000003E-2</v>
      </c>
      <c r="H85">
        <f t="shared" si="4"/>
        <v>125.56878528658217</v>
      </c>
      <c r="I85">
        <f t="shared" si="5"/>
        <v>2.5105233088245926</v>
      </c>
      <c r="K85" s="8">
        <v>5.8000000000000003E-2</v>
      </c>
      <c r="L85">
        <f t="shared" si="6"/>
        <v>67.121298271343989</v>
      </c>
      <c r="M85">
        <f t="shared" si="7"/>
        <v>60.910322621215379</v>
      </c>
    </row>
    <row r="86" spans="1:13" x14ac:dyDescent="0.25">
      <c r="A86">
        <v>60</v>
      </c>
      <c r="B86">
        <f t="shared" si="0"/>
        <v>6.5964702456655311E-2</v>
      </c>
      <c r="C86">
        <f t="shared" si="1"/>
        <v>30.911868653479605</v>
      </c>
      <c r="D86">
        <f t="shared" si="2"/>
        <v>66.74148768763088</v>
      </c>
      <c r="E86" s="7">
        <f t="shared" si="3"/>
        <v>102.83219037711012</v>
      </c>
      <c r="G86" s="8">
        <v>5.8999999999999997E-2</v>
      </c>
      <c r="H86">
        <f t="shared" si="4"/>
        <v>126.21609530494078</v>
      </c>
      <c r="I86">
        <f t="shared" si="5"/>
        <v>2.3268894682949153</v>
      </c>
      <c r="K86" s="8">
        <v>5.8999999999999997E-2</v>
      </c>
      <c r="L86">
        <f t="shared" si="6"/>
        <v>66.235146608859111</v>
      </c>
      <c r="M86">
        <f t="shared" si="7"/>
        <v>59.698438980472851</v>
      </c>
    </row>
    <row r="87" spans="1:13" x14ac:dyDescent="0.25">
      <c r="A87">
        <v>61</v>
      </c>
      <c r="B87">
        <f t="shared" si="0"/>
        <v>7.4733731682265991E-2</v>
      </c>
      <c r="C87">
        <f t="shared" si="1"/>
        <v>30.814953662605337</v>
      </c>
      <c r="D87">
        <f t="shared" si="2"/>
        <v>66.346614580135807</v>
      </c>
      <c r="E87" s="7">
        <f t="shared" si="3"/>
        <v>101.98806059936706</v>
      </c>
      <c r="G87" s="1">
        <v>0.06</v>
      </c>
      <c r="H87">
        <f t="shared" si="4"/>
        <v>126.86194788573493</v>
      </c>
      <c r="I87">
        <f t="shared" si="5"/>
        <v>2.143255627765237</v>
      </c>
      <c r="K87" s="1">
        <v>0.06</v>
      </c>
      <c r="L87">
        <f t="shared" si="6"/>
        <v>65.357005318136615</v>
      </c>
      <c r="M87">
        <f t="shared" si="7"/>
        <v>58.486555339730316</v>
      </c>
    </row>
    <row r="88" spans="1:13" x14ac:dyDescent="0.25">
      <c r="A88">
        <v>62</v>
      </c>
      <c r="B88">
        <f t="shared" si="0"/>
        <v>8.4400501749338996E-2</v>
      </c>
      <c r="C88">
        <f t="shared" si="1"/>
        <v>30.718038671731072</v>
      </c>
      <c r="D88">
        <f t="shared" si="2"/>
        <v>65.952985556634985</v>
      </c>
      <c r="E88" s="7">
        <f t="shared" si="3"/>
        <v>101.14891868944757</v>
      </c>
      <c r="G88" s="8">
        <v>6.0999999999999999E-2</v>
      </c>
      <c r="H88">
        <f t="shared" si="4"/>
        <v>127.50631944601952</v>
      </c>
      <c r="I88">
        <f t="shared" si="5"/>
        <v>1.9596217872355588</v>
      </c>
      <c r="K88" s="8">
        <v>6.0999999999999999E-2</v>
      </c>
      <c r="L88">
        <f t="shared" si="6"/>
        <v>64.48684865485437</v>
      </c>
      <c r="M88">
        <f t="shared" si="7"/>
        <v>57.274671698987774</v>
      </c>
    </row>
    <row r="89" spans="1:13" x14ac:dyDescent="0.25">
      <c r="A89">
        <v>63</v>
      </c>
      <c r="B89">
        <f t="shared" si="0"/>
        <v>9.5027612335422784E-2</v>
      </c>
      <c r="C89">
        <f t="shared" si="1"/>
        <v>30.621123680856805</v>
      </c>
      <c r="D89">
        <f t="shared" si="2"/>
        <v>65.560600617128387</v>
      </c>
      <c r="E89" s="7">
        <f t="shared" si="3"/>
        <v>100.31474898298416</v>
      </c>
      <c r="G89" s="8">
        <v>6.2E-2</v>
      </c>
      <c r="H89">
        <f t="shared" si="4"/>
        <v>128.14918684420428</v>
      </c>
      <c r="I89">
        <f t="shared" si="5"/>
        <v>1.7759879467058814</v>
      </c>
      <c r="K89" s="8">
        <v>6.2E-2</v>
      </c>
      <c r="L89">
        <f t="shared" si="6"/>
        <v>63.624650606952088</v>
      </c>
      <c r="M89">
        <f t="shared" si="7"/>
        <v>56.062788058245232</v>
      </c>
    </row>
    <row r="90" spans="1:13" x14ac:dyDescent="0.25">
      <c r="A90">
        <v>64</v>
      </c>
      <c r="B90">
        <f t="shared" si="0"/>
        <v>0.10667959868120269</v>
      </c>
      <c r="C90">
        <f t="shared" si="1"/>
        <v>30.524208689982537</v>
      </c>
      <c r="D90">
        <f t="shared" si="2"/>
        <v>65.169459761616025</v>
      </c>
      <c r="E90" s="7">
        <f t="shared" si="3"/>
        <v>99.485535815609353</v>
      </c>
      <c r="G90" s="1">
        <v>6.3E-2</v>
      </c>
      <c r="H90">
        <f t="shared" si="4"/>
        <v>128.79052737973731</v>
      </c>
      <c r="I90">
        <f t="shared" si="5"/>
        <v>1.5923541061762032</v>
      </c>
      <c r="K90" s="1">
        <v>6.3E-2</v>
      </c>
      <c r="L90">
        <f t="shared" si="6"/>
        <v>62.770384890989519</v>
      </c>
      <c r="M90">
        <f t="shared" si="7"/>
        <v>54.85090441750269</v>
      </c>
    </row>
    <row r="91" spans="1:13" x14ac:dyDescent="0.25">
      <c r="A91">
        <v>65</v>
      </c>
      <c r="B91">
        <f t="shared" si="0"/>
        <v>0.11942284944939274</v>
      </c>
      <c r="C91">
        <f t="shared" si="1"/>
        <v>30.427293699108272</v>
      </c>
      <c r="D91">
        <f t="shared" si="2"/>
        <v>64.779562990097929</v>
      </c>
      <c r="E91" s="7">
        <f t="shared" si="3"/>
        <v>98.661263522955664</v>
      </c>
      <c r="G91" s="8">
        <v>6.4000000000000001E-2</v>
      </c>
      <c r="H91">
        <f t="shared" si="4"/>
        <v>129.43031879263691</v>
      </c>
      <c r="I91">
        <f t="shared" si="5"/>
        <v>1.408720265646525</v>
      </c>
      <c r="K91" s="8">
        <v>6.4000000000000001E-2</v>
      </c>
      <c r="L91">
        <f t="shared" si="6"/>
        <v>61.924024948655045</v>
      </c>
      <c r="M91">
        <f t="shared" si="7"/>
        <v>53.639020776760155</v>
      </c>
    </row>
    <row r="92" spans="1:13" x14ac:dyDescent="0.25">
      <c r="A92">
        <v>66</v>
      </c>
      <c r="B92">
        <f t="shared" ref="B92:B155" si="11">black_scholes_price($A92,$B$2,$B$3,$B$4,$B$5,$B$6,A$26)</f>
        <v>0.13332551947240945</v>
      </c>
      <c r="C92">
        <f t="shared" ref="C92:C155" si="12">$C$10+$C$13*(A92-$B$1)</f>
        <v>30.330378708234004</v>
      </c>
      <c r="D92">
        <f t="shared" ref="D92:D155" si="13">C92+0.5*$C$14*(A92-$B$1)^2</f>
        <v>64.390910302574056</v>
      </c>
      <c r="E92" s="7">
        <f t="shared" ref="E92:E155" si="14">D92+$C$19*(A92-$B$1)^3/6</f>
        <v>97.841916440655609</v>
      </c>
      <c r="G92" s="8">
        <v>6.5000000000000002E-2</v>
      </c>
      <c r="H92">
        <f t="shared" ref="H92:H127" si="15">black_scholes_price($B$1,$B$2,$B$3,$B$4,$G92,$B$6,A$26)</f>
        <v>130.06853926287221</v>
      </c>
      <c r="I92">
        <f t="shared" ref="I92:I127" si="16">$C$10+$C$16*(G92-$B$5)</f>
        <v>1.2250864251168467</v>
      </c>
      <c r="K92" s="8">
        <v>6.5000000000000002E-2</v>
      </c>
      <c r="L92">
        <f t="shared" ref="L92:L127" si="17">black_scholes_price($B$1,$B$2,$B$3,$B$4,$B$5,$K92,A$26)</f>
        <v>61.085543943426472</v>
      </c>
      <c r="M92">
        <f t="shared" ref="M92:M127" si="18">$B$10+$B$17*(K92-$B$6)</f>
        <v>52.427137136017613</v>
      </c>
    </row>
    <row r="93" spans="1:13" x14ac:dyDescent="0.25">
      <c r="A93">
        <v>67</v>
      </c>
      <c r="B93">
        <f t="shared" si="11"/>
        <v>0.14845743790160248</v>
      </c>
      <c r="C93">
        <f t="shared" si="12"/>
        <v>30.233463717359736</v>
      </c>
      <c r="D93">
        <f t="shared" si="13"/>
        <v>64.003501699044435</v>
      </c>
      <c r="E93" s="7">
        <f t="shared" si="14"/>
        <v>97.027478904341692</v>
      </c>
      <c r="G93" s="1">
        <v>6.6000000000000003E-2</v>
      </c>
      <c r="H93">
        <f t="shared" si="15"/>
        <v>130.70516740959778</v>
      </c>
      <c r="I93">
        <f t="shared" si="16"/>
        <v>1.0414525845871685</v>
      </c>
      <c r="K93" s="1">
        <v>6.6000000000000003E-2</v>
      </c>
      <c r="L93">
        <f t="shared" si="17"/>
        <v>60.254914757386175</v>
      </c>
      <c r="M93">
        <f t="shared" si="18"/>
        <v>51.215253495275071</v>
      </c>
    </row>
    <row r="94" spans="1:13" x14ac:dyDescent="0.25">
      <c r="A94">
        <v>68</v>
      </c>
      <c r="B94">
        <f t="shared" si="11"/>
        <v>0.16489001227038935</v>
      </c>
      <c r="C94">
        <f t="shared" si="12"/>
        <v>30.136548726485472</v>
      </c>
      <c r="D94">
        <f t="shared" si="13"/>
        <v>63.61733717950905</v>
      </c>
      <c r="E94" s="7">
        <f t="shared" si="14"/>
        <v>96.21793524964643</v>
      </c>
      <c r="G94" s="8">
        <v>6.7000000000000004E-2</v>
      </c>
      <c r="H94">
        <f t="shared" si="15"/>
        <v>131.34018229024232</v>
      </c>
      <c r="I94">
        <f t="shared" si="16"/>
        <v>0.85781874405749026</v>
      </c>
      <c r="K94" s="8">
        <v>6.7000000000000004E-2</v>
      </c>
      <c r="L94">
        <f t="shared" si="17"/>
        <v>59.432109988192522</v>
      </c>
      <c r="M94">
        <f t="shared" si="18"/>
        <v>50.003369854532536</v>
      </c>
    </row>
    <row r="95" spans="1:13" x14ac:dyDescent="0.25">
      <c r="A95">
        <v>69</v>
      </c>
      <c r="B95">
        <f t="shared" si="11"/>
        <v>0.18269612897961185</v>
      </c>
      <c r="C95">
        <f t="shared" si="12"/>
        <v>30.039633735611204</v>
      </c>
      <c r="D95">
        <f t="shared" si="13"/>
        <v>63.23241674396791</v>
      </c>
      <c r="E95" s="7">
        <f t="shared" si="14"/>
        <v>95.413269812202344</v>
      </c>
      <c r="G95" s="8">
        <v>6.8000000000000005E-2</v>
      </c>
      <c r="H95">
        <f t="shared" si="15"/>
        <v>131.97356339945682</v>
      </c>
      <c r="I95">
        <f t="shared" si="16"/>
        <v>0.67418490352781202</v>
      </c>
      <c r="K95" s="8">
        <v>6.8000000000000005E-2</v>
      </c>
      <c r="L95">
        <f t="shared" si="17"/>
        <v>58.617101946209644</v>
      </c>
      <c r="M95">
        <f t="shared" si="18"/>
        <v>48.791486213789995</v>
      </c>
    </row>
    <row r="96" spans="1:13" x14ac:dyDescent="0.25">
      <c r="A96">
        <v>70</v>
      </c>
      <c r="B96">
        <f t="shared" si="11"/>
        <v>0.20195005070618488</v>
      </c>
      <c r="C96">
        <f t="shared" si="12"/>
        <v>29.942718744736936</v>
      </c>
      <c r="D96">
        <f t="shared" si="13"/>
        <v>62.848740392421007</v>
      </c>
      <c r="E96" s="7">
        <f t="shared" si="14"/>
        <v>94.613466927641923</v>
      </c>
      <c r="G96" s="1">
        <v>6.9000000000000006E-2</v>
      </c>
      <c r="H96">
        <f t="shared" si="15"/>
        <v>132.60529066792253</v>
      </c>
      <c r="I96">
        <f t="shared" si="16"/>
        <v>0.49055106299813378</v>
      </c>
      <c r="K96" s="1">
        <v>6.9000000000000006E-2</v>
      </c>
      <c r="L96">
        <f t="shared" si="17"/>
        <v>57.809862651797204</v>
      </c>
      <c r="M96">
        <f t="shared" si="18"/>
        <v>47.579602573047453</v>
      </c>
    </row>
    <row r="97" spans="1:13" x14ac:dyDescent="0.25">
      <c r="A97">
        <v>71</v>
      </c>
      <c r="B97">
        <f t="shared" si="11"/>
        <v>0.22272731122590561</v>
      </c>
      <c r="C97">
        <f t="shared" si="12"/>
        <v>29.845803753862672</v>
      </c>
      <c r="D97">
        <f t="shared" si="13"/>
        <v>62.466308124868348</v>
      </c>
      <c r="E97" s="7">
        <f t="shared" si="14"/>
        <v>93.8185109315977</v>
      </c>
      <c r="G97" s="8">
        <v>7.0000000000000007E-2</v>
      </c>
      <c r="H97">
        <f t="shared" si="15"/>
        <v>133.23534446102354</v>
      </c>
      <c r="I97">
        <f t="shared" si="16"/>
        <v>0.30691722246845554</v>
      </c>
      <c r="K97" s="8">
        <v>7.0000000000000007E-2</v>
      </c>
      <c r="L97">
        <f t="shared" si="17"/>
        <v>57.010363832761882</v>
      </c>
      <c r="M97">
        <f t="shared" si="18"/>
        <v>46.367718932304911</v>
      </c>
    </row>
    <row r="98" spans="1:13" x14ac:dyDescent="0.25">
      <c r="A98">
        <v>72</v>
      </c>
      <c r="B98">
        <f t="shared" si="11"/>
        <v>0.2451046081286774</v>
      </c>
      <c r="C98">
        <f t="shared" si="12"/>
        <v>29.748888762988404</v>
      </c>
      <c r="D98">
        <f t="shared" si="13"/>
        <v>62.085119941309927</v>
      </c>
      <c r="E98" s="7">
        <f t="shared" si="14"/>
        <v>93.028386159702194</v>
      </c>
      <c r="G98" s="8">
        <v>7.0999999999999994E-2</v>
      </c>
      <c r="H98">
        <f t="shared" si="15"/>
        <v>133.8637055773855</v>
      </c>
      <c r="I98">
        <f t="shared" si="16"/>
        <v>0.12328338193877997</v>
      </c>
      <c r="K98" s="8">
        <v>7.0999999999999994E-2</v>
      </c>
      <c r="L98">
        <f t="shared" si="17"/>
        <v>56.218576921972627</v>
      </c>
      <c r="M98">
        <f t="shared" si="18"/>
        <v>45.15583529156239</v>
      </c>
    </row>
    <row r="99" spans="1:13" x14ac:dyDescent="0.25">
      <c r="A99">
        <v>73</v>
      </c>
      <c r="B99">
        <f t="shared" si="11"/>
        <v>0.26915969388955641</v>
      </c>
      <c r="C99">
        <f t="shared" si="12"/>
        <v>29.651973772114136</v>
      </c>
      <c r="D99">
        <f t="shared" si="13"/>
        <v>61.705175841745756</v>
      </c>
      <c r="E99" s="7">
        <f t="shared" si="14"/>
        <v>92.243076947587909</v>
      </c>
      <c r="G99" s="1">
        <v>7.1999999999999995E-2</v>
      </c>
      <c r="H99">
        <f t="shared" si="15"/>
        <v>134.49035524728441</v>
      </c>
      <c r="I99">
        <f t="shared" si="16"/>
        <v>-6.035045859089827E-2</v>
      </c>
      <c r="K99" s="1">
        <v>7.1999999999999995E-2</v>
      </c>
      <c r="L99">
        <f t="shared" si="17"/>
        <v>55.434473055140273</v>
      </c>
      <c r="M99">
        <f t="shared" si="18"/>
        <v>43.943951650819848</v>
      </c>
    </row>
    <row r="100" spans="1:13" x14ac:dyDescent="0.25">
      <c r="A100">
        <v>74</v>
      </c>
      <c r="B100">
        <f t="shared" si="11"/>
        <v>0.29497126574231736</v>
      </c>
      <c r="C100">
        <f t="shared" si="12"/>
        <v>29.555058781239872</v>
      </c>
      <c r="D100">
        <f t="shared" si="13"/>
        <v>61.326475826175823</v>
      </c>
      <c r="E100" s="7">
        <f t="shared" si="14"/>
        <v>91.462567630887349</v>
      </c>
      <c r="G100" s="8">
        <v>7.2999999999999995E-2</v>
      </c>
      <c r="H100">
        <f t="shared" si="15"/>
        <v>135.11527513092753</v>
      </c>
      <c r="I100">
        <f t="shared" si="16"/>
        <v>-0.24398429912057651</v>
      </c>
      <c r="K100" s="8">
        <v>7.2999999999999995E-2</v>
      </c>
      <c r="L100">
        <f t="shared" si="17"/>
        <v>54.658023068764081</v>
      </c>
      <c r="M100">
        <f t="shared" si="18"/>
        <v>42.732068010077313</v>
      </c>
    </row>
    <row r="101" spans="1:13" x14ac:dyDescent="0.25">
      <c r="A101">
        <v>75</v>
      </c>
      <c r="B101">
        <f t="shared" si="11"/>
        <v>0.32261885478400543</v>
      </c>
      <c r="C101">
        <f t="shared" si="12"/>
        <v>29.458143790365604</v>
      </c>
      <c r="D101">
        <f t="shared" si="13"/>
        <v>60.949019894600127</v>
      </c>
      <c r="E101" s="7">
        <f t="shared" si="14"/>
        <v>90.686842545233048</v>
      </c>
      <c r="G101" s="8">
        <v>7.3999999999999996E-2</v>
      </c>
      <c r="H101">
        <f t="shared" si="15"/>
        <v>135.73844731660995</v>
      </c>
      <c r="I101">
        <f t="shared" si="16"/>
        <v>-0.42761813965025475</v>
      </c>
      <c r="K101" s="8">
        <v>7.3999999999999996E-2</v>
      </c>
      <c r="L101">
        <f t="shared" si="17"/>
        <v>53.889197498245764</v>
      </c>
      <c r="M101">
        <f t="shared" si="18"/>
        <v>41.520184369334771</v>
      </c>
    </row>
    <row r="102" spans="1:13" x14ac:dyDescent="0.25">
      <c r="A102">
        <v>76</v>
      </c>
      <c r="B102">
        <f t="shared" si="11"/>
        <v>0.35218271471945317</v>
      </c>
      <c r="C102">
        <f t="shared" si="12"/>
        <v>29.361228799491336</v>
      </c>
      <c r="D102">
        <f t="shared" si="13"/>
        <v>60.572808047018668</v>
      </c>
      <c r="E102" s="7">
        <f t="shared" si="14"/>
        <v>89.915886026257496</v>
      </c>
      <c r="G102" s="1">
        <v>7.4999999999999997E-2</v>
      </c>
      <c r="H102">
        <f t="shared" si="15"/>
        <v>136.35985431874968</v>
      </c>
      <c r="I102">
        <f t="shared" si="16"/>
        <v>-0.61125198017993299</v>
      </c>
      <c r="K102" s="1">
        <v>7.4999999999999997E-2</v>
      </c>
      <c r="L102">
        <f t="shared" si="17"/>
        <v>53.127966576172668</v>
      </c>
      <c r="M102">
        <f t="shared" si="18"/>
        <v>40.308300728592229</v>
      </c>
    </row>
    <row r="103" spans="1:13" x14ac:dyDescent="0.25">
      <c r="A103">
        <v>77</v>
      </c>
      <c r="B103">
        <f t="shared" si="11"/>
        <v>0.38374371063423229</v>
      </c>
      <c r="C103">
        <f t="shared" si="12"/>
        <v>29.264313808617072</v>
      </c>
      <c r="D103">
        <f t="shared" si="13"/>
        <v>60.197840283431461</v>
      </c>
      <c r="E103" s="7">
        <f t="shared" si="14"/>
        <v>89.149682409593225</v>
      </c>
      <c r="G103" s="8">
        <v>7.5999999999999998E-2</v>
      </c>
      <c r="H103">
        <f t="shared" si="15"/>
        <v>136.97947907580419</v>
      </c>
      <c r="I103">
        <f t="shared" si="16"/>
        <v>-0.79488582070961122</v>
      </c>
      <c r="K103" s="8">
        <v>7.5999999999999998E-2</v>
      </c>
      <c r="L103">
        <f t="shared" si="17"/>
        <v>52.37430023077053</v>
      </c>
      <c r="M103">
        <f t="shared" si="18"/>
        <v>39.096417087849687</v>
      </c>
    </row>
    <row r="104" spans="1:13" x14ac:dyDescent="0.25">
      <c r="A104">
        <v>78</v>
      </c>
      <c r="B104">
        <f t="shared" si="11"/>
        <v>0.41738320816321339</v>
      </c>
      <c r="C104">
        <f t="shared" si="12"/>
        <v>29.167398817742804</v>
      </c>
      <c r="D104">
        <f t="shared" si="13"/>
        <v>59.82411660383849</v>
      </c>
      <c r="E104" s="7">
        <f t="shared" si="14"/>
        <v>88.388216030872741</v>
      </c>
      <c r="G104" s="8">
        <v>7.6999999999999999E-2</v>
      </c>
      <c r="H104">
        <f t="shared" si="15"/>
        <v>137.59730494807127</v>
      </c>
      <c r="I104">
        <f t="shared" si="16"/>
        <v>-0.97851966123928946</v>
      </c>
      <c r="K104" s="8">
        <v>7.6999999999999999E-2</v>
      </c>
      <c r="L104">
        <f t="shared" si="17"/>
        <v>51.628168084528497</v>
      </c>
      <c r="M104">
        <f t="shared" si="18"/>
        <v>37.884533447107145</v>
      </c>
    </row>
    <row r="105" spans="1:13" x14ac:dyDescent="0.25">
      <c r="A105">
        <v>79</v>
      </c>
      <c r="B105">
        <f t="shared" si="11"/>
        <v>0.45318296340018671</v>
      </c>
      <c r="C105">
        <f t="shared" si="12"/>
        <v>29.070483826868536</v>
      </c>
      <c r="D105">
        <f t="shared" si="13"/>
        <v>59.451637008239757</v>
      </c>
      <c r="E105" s="7">
        <f t="shared" si="14"/>
        <v>87.631471225728546</v>
      </c>
      <c r="G105" s="1">
        <v>7.8E-2</v>
      </c>
      <c r="H105">
        <f t="shared" si="15"/>
        <v>138.21331571537769</v>
      </c>
      <c r="I105">
        <f t="shared" si="16"/>
        <v>-1.1621535017689677</v>
      </c>
      <c r="K105" s="1">
        <v>7.8E-2</v>
      </c>
      <c r="L105">
        <f t="shared" si="17"/>
        <v>50.889539452994711</v>
      </c>
      <c r="M105">
        <f t="shared" si="18"/>
        <v>36.672649806364603</v>
      </c>
    </row>
    <row r="106" spans="1:13" x14ac:dyDescent="0.25">
      <c r="A106">
        <v>80</v>
      </c>
      <c r="B106">
        <f t="shared" si="11"/>
        <v>0.49122501387181838</v>
      </c>
      <c r="C106">
        <f t="shared" si="12"/>
        <v>28.973568835994271</v>
      </c>
      <c r="D106">
        <f t="shared" si="13"/>
        <v>59.080401496635275</v>
      </c>
      <c r="E106" s="7">
        <f t="shared" si="14"/>
        <v>86.87943232979319</v>
      </c>
      <c r="G106" s="8">
        <v>7.9000000000000001E-2</v>
      </c>
      <c r="H106">
        <f t="shared" si="15"/>
        <v>138.82749557465834</v>
      </c>
      <c r="I106">
        <f t="shared" si="16"/>
        <v>-1.3457873422986459</v>
      </c>
      <c r="K106" s="8">
        <v>7.9000000000000001E-2</v>
      </c>
      <c r="L106">
        <f t="shared" si="17"/>
        <v>50.158383343746351</v>
      </c>
      <c r="M106">
        <f t="shared" si="18"/>
        <v>35.460766165622076</v>
      </c>
    </row>
    <row r="107" spans="1:13" x14ac:dyDescent="0.25">
      <c r="A107">
        <v>81</v>
      </c>
      <c r="B107">
        <f t="shared" si="11"/>
        <v>0.53159157087696851</v>
      </c>
      <c r="C107">
        <f t="shared" si="12"/>
        <v>28.876653845120003</v>
      </c>
      <c r="D107">
        <f t="shared" si="13"/>
        <v>58.710410069025031</v>
      </c>
      <c r="E107" s="7">
        <f t="shared" si="14"/>
        <v>86.132083678699146</v>
      </c>
      <c r="G107" s="8">
        <v>0.08</v>
      </c>
      <c r="H107">
        <f t="shared" si="15"/>
        <v>139.43982913742909</v>
      </c>
      <c r="I107">
        <f t="shared" si="16"/>
        <v>-1.5294211828283242</v>
      </c>
      <c r="K107" s="8">
        <v>0.08</v>
      </c>
      <c r="L107">
        <f t="shared" si="17"/>
        <v>49.434668455532076</v>
      </c>
      <c r="M107">
        <f t="shared" si="18"/>
        <v>34.248882524879534</v>
      </c>
    </row>
    <row r="108" spans="1:13" x14ac:dyDescent="0.25">
      <c r="A108">
        <v>82</v>
      </c>
      <c r="B108">
        <f t="shared" si="11"/>
        <v>0.57436491347011343</v>
      </c>
      <c r="C108">
        <f t="shared" si="12"/>
        <v>28.779738854245736</v>
      </c>
      <c r="D108">
        <f t="shared" si="13"/>
        <v>58.341662725409023</v>
      </c>
      <c r="E108" s="7">
        <f t="shared" si="14"/>
        <v>85.389409608078935</v>
      </c>
      <c r="G108" s="1">
        <v>8.1000000000000003E-2</v>
      </c>
      <c r="H108">
        <f t="shared" si="15"/>
        <v>140.05030142715651</v>
      </c>
      <c r="I108">
        <f t="shared" si="16"/>
        <v>-1.7130550233580024</v>
      </c>
      <c r="K108" s="1">
        <v>8.1000000000000003E-2</v>
      </c>
      <c r="L108">
        <f t="shared" si="17"/>
        <v>48.718363177589566</v>
      </c>
      <c r="M108">
        <f t="shared" si="18"/>
        <v>33.036998884136992</v>
      </c>
    </row>
    <row r="109" spans="1:13" x14ac:dyDescent="0.25">
      <c r="A109">
        <v>83</v>
      </c>
      <c r="B109">
        <f t="shared" si="11"/>
        <v>0.61962728434561187</v>
      </c>
      <c r="C109">
        <f t="shared" si="12"/>
        <v>28.682823863371468</v>
      </c>
      <c r="D109">
        <f t="shared" si="13"/>
        <v>57.974159465787253</v>
      </c>
      <c r="E109" s="7">
        <f t="shared" si="14"/>
        <v>84.651394453565075</v>
      </c>
      <c r="G109" s="8">
        <v>8.2000000000000003E-2</v>
      </c>
      <c r="H109">
        <f t="shared" si="15"/>
        <v>140.65889787652694</v>
      </c>
      <c r="I109">
        <f t="shared" si="16"/>
        <v>-1.8966888638876807</v>
      </c>
      <c r="K109" s="8">
        <v>8.2000000000000003E-2</v>
      </c>
      <c r="L109">
        <f t="shared" si="17"/>
        <v>48.009435589137382</v>
      </c>
      <c r="M109">
        <f t="shared" si="18"/>
        <v>31.82511524339445</v>
      </c>
    </row>
    <row r="110" spans="1:13" x14ac:dyDescent="0.25">
      <c r="A110">
        <v>84</v>
      </c>
      <c r="B110">
        <f t="shared" si="11"/>
        <v>0.66746078785763219</v>
      </c>
      <c r="C110">
        <f t="shared" si="12"/>
        <v>28.585908872497203</v>
      </c>
      <c r="D110">
        <f t="shared" si="13"/>
        <v>57.607900290159733</v>
      </c>
      <c r="E110" s="7">
        <f t="shared" si="14"/>
        <v>83.918022550790099</v>
      </c>
      <c r="G110" s="8">
        <v>8.3000000000000004E-2</v>
      </c>
      <c r="H110">
        <f t="shared" si="15"/>
        <v>141.26560432461906</v>
      </c>
      <c r="I110">
        <f t="shared" si="16"/>
        <v>-2.0803227044173589</v>
      </c>
      <c r="K110" s="8">
        <v>8.3000000000000004E-2</v>
      </c>
      <c r="L110">
        <f t="shared" si="17"/>
        <v>47.30785345904205</v>
      </c>
      <c r="M110">
        <f t="shared" si="18"/>
        <v>30.613231602651908</v>
      </c>
    </row>
    <row r="111" spans="1:13" x14ac:dyDescent="0.25">
      <c r="A111">
        <v>85</v>
      </c>
      <c r="B111">
        <f t="shared" si="11"/>
        <v>0.71794729038924654</v>
      </c>
      <c r="C111">
        <f t="shared" si="12"/>
        <v>28.488993881622935</v>
      </c>
      <c r="D111">
        <f t="shared" si="13"/>
        <v>57.242885198526452</v>
      </c>
      <c r="E111" s="7">
        <f t="shared" si="14"/>
        <v>83.189278235386496</v>
      </c>
      <c r="G111" s="1">
        <v>8.4000000000000005E-2</v>
      </c>
      <c r="H111">
        <f t="shared" si="15"/>
        <v>141.87040701398223</v>
      </c>
      <c r="I111">
        <f t="shared" si="16"/>
        <v>-2.2639565449470371</v>
      </c>
      <c r="K111" s="1">
        <v>8.4000000000000005E-2</v>
      </c>
      <c r="L111">
        <f t="shared" si="17"/>
        <v>46.613584245660903</v>
      </c>
      <c r="M111">
        <f t="shared" si="18"/>
        <v>29.401347961909366</v>
      </c>
    </row>
    <row r="112" spans="1:13" x14ac:dyDescent="0.25">
      <c r="A112">
        <v>86</v>
      </c>
      <c r="B112">
        <f t="shared" si="11"/>
        <v>0.77116832326333906</v>
      </c>
      <c r="C112">
        <f t="shared" si="12"/>
        <v>28.392078890748667</v>
      </c>
      <c r="D112">
        <f t="shared" si="13"/>
        <v>56.879114190887414</v>
      </c>
      <c r="E112" s="7">
        <f t="shared" si="14"/>
        <v>82.465145842986786</v>
      </c>
      <c r="G112" s="8">
        <v>8.5000000000000006E-2</v>
      </c>
      <c r="H112">
        <f t="shared" si="15"/>
        <v>142.47329258762366</v>
      </c>
      <c r="I112">
        <f t="shared" si="16"/>
        <v>-2.4475903854767154</v>
      </c>
      <c r="K112" s="8">
        <v>8.5000000000000006E-2</v>
      </c>
      <c r="L112">
        <f t="shared" si="17"/>
        <v>45.926595096860169</v>
      </c>
      <c r="M112">
        <f t="shared" si="18"/>
        <v>28.189464321166824</v>
      </c>
    </row>
    <row r="113" spans="1:13" x14ac:dyDescent="0.25">
      <c r="A113">
        <v>87</v>
      </c>
      <c r="B113">
        <f t="shared" si="11"/>
        <v>0.82720498836750078</v>
      </c>
      <c r="C113">
        <f t="shared" si="12"/>
        <v>28.295163899874403</v>
      </c>
      <c r="D113">
        <f t="shared" si="13"/>
        <v>56.516587267242613</v>
      </c>
      <c r="E113" s="7">
        <f t="shared" si="14"/>
        <v>81.745609709223487</v>
      </c>
      <c r="G113" s="8">
        <v>8.5999999999999993E-2</v>
      </c>
      <c r="H113">
        <f t="shared" si="15"/>
        <v>143.07424808590838</v>
      </c>
      <c r="I113">
        <f t="shared" si="16"/>
        <v>-2.6312242260063918</v>
      </c>
      <c r="K113" s="8">
        <v>8.5999999999999993E-2</v>
      </c>
      <c r="L113">
        <f t="shared" si="17"/>
        <v>45.246852850208981</v>
      </c>
      <c r="M113">
        <f t="shared" si="18"/>
        <v>26.97758068042431</v>
      </c>
    </row>
    <row r="114" spans="1:13" x14ac:dyDescent="0.25">
      <c r="A114">
        <v>88</v>
      </c>
      <c r="B114">
        <f t="shared" si="11"/>
        <v>0.8861378666456794</v>
      </c>
      <c r="C114">
        <f t="shared" si="12"/>
        <v>28.198248909000135</v>
      </c>
      <c r="D114">
        <f t="shared" si="13"/>
        <v>56.155304427592057</v>
      </c>
      <c r="E114" s="7">
        <f t="shared" si="14"/>
        <v>81.030654169729104</v>
      </c>
      <c r="G114" s="1">
        <v>8.6999999999999994E-2</v>
      </c>
      <c r="H114">
        <f t="shared" si="15"/>
        <v>143.67326094337386</v>
      </c>
      <c r="I114">
        <f t="shared" si="16"/>
        <v>-2.8148580665360701</v>
      </c>
      <c r="K114" s="1">
        <v>8.6999999999999994E-2</v>
      </c>
      <c r="L114">
        <f t="shared" si="17"/>
        <v>44.574324033349171</v>
      </c>
      <c r="M114">
        <f t="shared" si="18"/>
        <v>25.765697039681768</v>
      </c>
    </row>
    <row r="115" spans="1:13" x14ac:dyDescent="0.25">
      <c r="A115">
        <v>89</v>
      </c>
      <c r="B115">
        <f t="shared" si="11"/>
        <v>0.94804692959015391</v>
      </c>
      <c r="C115">
        <f t="shared" si="12"/>
        <v>28.101333918125867</v>
      </c>
      <c r="D115">
        <f t="shared" si="13"/>
        <v>55.795265671935745</v>
      </c>
      <c r="E115" s="7">
        <f t="shared" si="14"/>
        <v>80.320263560136155</v>
      </c>
      <c r="G115" s="8">
        <v>8.7999999999999995E-2</v>
      </c>
      <c r="H115">
        <f t="shared" si="15"/>
        <v>144.27031898546295</v>
      </c>
      <c r="I115">
        <f t="shared" si="16"/>
        <v>-2.9984919070657483</v>
      </c>
      <c r="K115" s="8">
        <v>8.7999999999999995E-2</v>
      </c>
      <c r="L115">
        <f t="shared" si="17"/>
        <v>43.908974864540497</v>
      </c>
      <c r="M115">
        <f t="shared" si="18"/>
        <v>24.553813398939226</v>
      </c>
    </row>
    <row r="116" spans="1:13" x14ac:dyDescent="0.25">
      <c r="A116">
        <v>90</v>
      </c>
      <c r="B116">
        <f t="shared" si="11"/>
        <v>1.013011453849435</v>
      </c>
      <c r="C116">
        <f t="shared" si="12"/>
        <v>28.004418927251603</v>
      </c>
      <c r="D116">
        <f t="shared" si="13"/>
        <v>55.43647100027367</v>
      </c>
      <c r="E116" s="7">
        <f t="shared" si="14"/>
        <v>79.614422216077145</v>
      </c>
      <c r="G116" s="8">
        <v>8.8999999999999996E-2</v>
      </c>
      <c r="H116">
        <f t="shared" si="15"/>
        <v>144.86541042517877</v>
      </c>
      <c r="I116">
        <f t="shared" si="16"/>
        <v>-3.1821257475954265</v>
      </c>
      <c r="K116" s="8">
        <v>8.8999999999999996E-2</v>
      </c>
      <c r="L116">
        <f t="shared" si="17"/>
        <v>43.250771253381302</v>
      </c>
      <c r="M116">
        <f t="shared" si="18"/>
        <v>23.341929758196684</v>
      </c>
    </row>
    <row r="117" spans="1:13" x14ac:dyDescent="0.25">
      <c r="A117">
        <v>91</v>
      </c>
      <c r="B117">
        <f t="shared" si="11"/>
        <v>1.0811099390501449</v>
      </c>
      <c r="C117">
        <f t="shared" si="12"/>
        <v>27.907503936377335</v>
      </c>
      <c r="D117">
        <f t="shared" si="13"/>
        <v>55.078920412605839</v>
      </c>
      <c r="E117" s="7">
        <f t="shared" si="14"/>
        <v>78.913114473184606</v>
      </c>
      <c r="G117" s="1">
        <v>0.09</v>
      </c>
      <c r="H117">
        <f t="shared" si="15"/>
        <v>145.4585238596635</v>
      </c>
      <c r="I117">
        <f t="shared" si="16"/>
        <v>-3.3657595881251048</v>
      </c>
      <c r="K117" s="1">
        <v>0.09</v>
      </c>
      <c r="L117">
        <f t="shared" si="17"/>
        <v>42.599678801703845</v>
      </c>
      <c r="M117">
        <f t="shared" si="18"/>
        <v>22.130046117454143</v>
      </c>
    </row>
    <row r="118" spans="1:13" x14ac:dyDescent="0.25">
      <c r="A118">
        <v>92</v>
      </c>
      <c r="B118">
        <f t="shared" si="11"/>
        <v>1.1524200289144515</v>
      </c>
      <c r="C118">
        <f t="shared" si="12"/>
        <v>27.810588945503067</v>
      </c>
      <c r="D118">
        <f t="shared" si="13"/>
        <v>54.722613908932246</v>
      </c>
      <c r="E118" s="7">
        <f t="shared" si="14"/>
        <v>78.21632466709103</v>
      </c>
      <c r="G118" s="8">
        <v>9.0999999999999998E-2</v>
      </c>
      <c r="H118">
        <f t="shared" si="15"/>
        <v>146.04964826670482</v>
      </c>
      <c r="I118">
        <f t="shared" si="16"/>
        <v>-3.549393428654783</v>
      </c>
      <c r="K118" s="8">
        <v>9.0999999999999998E-2</v>
      </c>
      <c r="L118">
        <f t="shared" si="17"/>
        <v>41.955662804644433</v>
      </c>
      <c r="M118">
        <f t="shared" si="18"/>
        <v>20.918162476711601</v>
      </c>
    </row>
    <row r="119" spans="1:13" x14ac:dyDescent="0.25">
      <c r="A119">
        <v>93</v>
      </c>
      <c r="B119">
        <f t="shared" si="11"/>
        <v>1.2270184357388754</v>
      </c>
      <c r="C119">
        <f t="shared" si="12"/>
        <v>27.713673954628803</v>
      </c>
      <c r="D119">
        <f t="shared" si="13"/>
        <v>54.367551489252904</v>
      </c>
      <c r="E119" s="7">
        <f t="shared" si="14"/>
        <v>77.524037133428948</v>
      </c>
      <c r="G119" s="8">
        <v>9.1999999999999998E-2</v>
      </c>
      <c r="H119">
        <f t="shared" si="15"/>
        <v>146.63877300117292</v>
      </c>
      <c r="I119">
        <f t="shared" si="16"/>
        <v>-3.7330272691844613</v>
      </c>
      <c r="K119" s="8">
        <v>9.1999999999999998E-2</v>
      </c>
      <c r="L119">
        <f t="shared" si="17"/>
        <v>41.318688251887309</v>
      </c>
      <c r="M119">
        <f t="shared" si="18"/>
        <v>19.706278835969059</v>
      </c>
    </row>
    <row r="120" spans="1:13" x14ac:dyDescent="0.25">
      <c r="A120">
        <v>94</v>
      </c>
      <c r="B120">
        <f t="shared" si="11"/>
        <v>1.3049808682854467</v>
      </c>
      <c r="C120">
        <f t="shared" si="12"/>
        <v>27.616758963754535</v>
      </c>
      <c r="D120">
        <f t="shared" si="13"/>
        <v>54.013733153567792</v>
      </c>
      <c r="E120" s="7">
        <f t="shared" si="14"/>
        <v>76.836236207830865</v>
      </c>
      <c r="G120" s="1">
        <v>9.2999999999999999E-2</v>
      </c>
      <c r="H120">
        <f t="shared" si="15"/>
        <v>147.22588779139079</v>
      </c>
      <c r="I120">
        <f t="shared" si="16"/>
        <v>-3.9166611097141377</v>
      </c>
      <c r="K120" s="1">
        <v>9.2999999999999999E-2</v>
      </c>
      <c r="L120">
        <f t="shared" si="17"/>
        <v>40.688719829081577</v>
      </c>
      <c r="M120">
        <f t="shared" si="18"/>
        <v>18.494395195226531</v>
      </c>
    </row>
    <row r="121" spans="1:13" x14ac:dyDescent="0.25">
      <c r="A121">
        <v>95</v>
      </c>
      <c r="B121">
        <f t="shared" si="11"/>
        <v>1.38638196312204</v>
      </c>
      <c r="C121">
        <f t="shared" si="12"/>
        <v>27.519843972880267</v>
      </c>
      <c r="D121">
        <f t="shared" si="13"/>
        <v>53.661158901876917</v>
      </c>
      <c r="E121" s="7">
        <f t="shared" si="14"/>
        <v>76.152906225929271</v>
      </c>
      <c r="G121" s="8">
        <v>9.4E-2</v>
      </c>
      <c r="H121">
        <f t="shared" si="15"/>
        <v>147.81098273544123</v>
      </c>
      <c r="I121">
        <f t="shared" si="16"/>
        <v>-4.100294950243816</v>
      </c>
      <c r="K121" s="8">
        <v>9.4E-2</v>
      </c>
      <c r="L121">
        <f t="shared" si="17"/>
        <v>40.065721919430914</v>
      </c>
      <c r="M121">
        <f t="shared" si="18"/>
        <v>17.282511554483989</v>
      </c>
    </row>
    <row r="122" spans="1:13" x14ac:dyDescent="0.25">
      <c r="A122">
        <v>96</v>
      </c>
      <c r="B122">
        <f t="shared" si="11"/>
        <v>1.4712952194357447</v>
      </c>
      <c r="C122">
        <f t="shared" si="12"/>
        <v>27.422928982006002</v>
      </c>
      <c r="D122">
        <f t="shared" si="13"/>
        <v>53.3098287341803</v>
      </c>
      <c r="E122" s="7">
        <f t="shared" si="14"/>
        <v>75.474031523356743</v>
      </c>
      <c r="G122" s="8">
        <v>9.5000000000000001E-2</v>
      </c>
      <c r="H122">
        <f t="shared" si="15"/>
        <v>148.39404829741301</v>
      </c>
      <c r="I122">
        <f t="shared" si="16"/>
        <v>-4.2839287907734942</v>
      </c>
      <c r="K122" s="8">
        <v>9.5000000000000001E-2</v>
      </c>
      <c r="L122">
        <f t="shared" si="17"/>
        <v>39.449658605454488</v>
      </c>
      <c r="M122">
        <f t="shared" si="18"/>
        <v>16.070627913741447</v>
      </c>
    </row>
    <row r="123" spans="1:13" x14ac:dyDescent="0.25">
      <c r="A123">
        <v>97</v>
      </c>
      <c r="B123">
        <f t="shared" si="11"/>
        <v>1.5597929373306716</v>
      </c>
      <c r="C123">
        <f t="shared" si="12"/>
        <v>27.326013991131735</v>
      </c>
      <c r="D123">
        <f t="shared" si="13"/>
        <v>52.959742650477914</v>
      </c>
      <c r="E123" s="7">
        <f t="shared" si="14"/>
        <v>74.799596435745727</v>
      </c>
      <c r="G123" s="1">
        <v>9.6000000000000002E-2</v>
      </c>
      <c r="H123">
        <f t="shared" si="15"/>
        <v>148.97507530359005</v>
      </c>
      <c r="I123">
        <f t="shared" si="16"/>
        <v>-4.4675626313031724</v>
      </c>
      <c r="K123" s="1">
        <v>9.6000000000000002E-2</v>
      </c>
      <c r="L123">
        <f t="shared" si="17"/>
        <v>38.840493670918363</v>
      </c>
      <c r="M123">
        <f t="shared" si="18"/>
        <v>14.858744272998905</v>
      </c>
    </row>
    <row r="124" spans="1:13" x14ac:dyDescent="0.25">
      <c r="A124">
        <v>98</v>
      </c>
      <c r="B124">
        <f t="shared" si="11"/>
        <v>1.6519461596100493</v>
      </c>
      <c r="C124">
        <f t="shared" si="12"/>
        <v>27.229099000257467</v>
      </c>
      <c r="D124">
        <f t="shared" si="13"/>
        <v>52.610900650769764</v>
      </c>
      <c r="E124" s="7">
        <f t="shared" si="14"/>
        <v>74.12958529872877</v>
      </c>
      <c r="G124" s="8">
        <v>9.7000000000000003E-2</v>
      </c>
      <c r="H124">
        <f t="shared" si="15"/>
        <v>149.55405493858461</v>
      </c>
      <c r="I124">
        <f t="shared" si="16"/>
        <v>-4.6511964718328507</v>
      </c>
      <c r="K124" s="8">
        <v>9.7000000000000003E-2</v>
      </c>
      <c r="L124">
        <f t="shared" si="17"/>
        <v>38.238190602936569</v>
      </c>
      <c r="M124">
        <f t="shared" si="18"/>
        <v>13.646860632256363</v>
      </c>
    </row>
    <row r="125" spans="1:13" x14ac:dyDescent="0.25">
      <c r="A125">
        <v>99</v>
      </c>
      <c r="B125">
        <f t="shared" si="11"/>
        <v>1.7478246170320633</v>
      </c>
      <c r="C125">
        <f t="shared" si="12"/>
        <v>27.132184009383202</v>
      </c>
      <c r="D125">
        <f t="shared" si="13"/>
        <v>52.263302735055873</v>
      </c>
      <c r="E125" s="7">
        <f t="shared" si="14"/>
        <v>73.463982447938378</v>
      </c>
      <c r="G125" s="8">
        <v>9.8000000000000004E-2</v>
      </c>
      <c r="H125">
        <f t="shared" si="15"/>
        <v>150.13097874142053</v>
      </c>
      <c r="I125">
        <f t="shared" si="16"/>
        <v>-4.8348303123625289</v>
      </c>
      <c r="K125" s="8">
        <v>9.8000000000000004E-2</v>
      </c>
      <c r="L125">
        <f t="shared" si="17"/>
        <v>37.642712594239882</v>
      </c>
      <c r="M125">
        <f t="shared" si="18"/>
        <v>12.434976991513821</v>
      </c>
    </row>
    <row r="126" spans="1:13" x14ac:dyDescent="0.25">
      <c r="A126">
        <v>100</v>
      </c>
      <c r="B126">
        <f t="shared" si="11"/>
        <v>1.84749667701867</v>
      </c>
      <c r="C126">
        <f t="shared" si="12"/>
        <v>27.035269018508934</v>
      </c>
      <c r="D126">
        <f t="shared" si="13"/>
        <v>51.916948903336205</v>
      </c>
      <c r="E126" s="7">
        <f t="shared" si="14"/>
        <v>72.802772219007068</v>
      </c>
      <c r="G126" s="1">
        <v>9.9000000000000005E-2</v>
      </c>
      <c r="H126">
        <f t="shared" si="15"/>
        <v>150.70583860156569</v>
      </c>
      <c r="I126">
        <f t="shared" si="16"/>
        <v>-5.0184641528922072</v>
      </c>
      <c r="K126" s="1">
        <v>9.9000000000000005E-2</v>
      </c>
      <c r="L126">
        <f t="shared" si="17"/>
        <v>37.054022545611787</v>
      </c>
      <c r="M126">
        <f t="shared" si="18"/>
        <v>11.223093350771279</v>
      </c>
    </row>
    <row r="127" spans="1:13" x14ac:dyDescent="0.25">
      <c r="A127">
        <v>101</v>
      </c>
      <c r="B127">
        <f t="shared" si="11"/>
        <v>1.9510292957878548</v>
      </c>
      <c r="C127">
        <f t="shared" si="12"/>
        <v>26.938354027634666</v>
      </c>
      <c r="D127">
        <f t="shared" si="13"/>
        <v>51.571839155610789</v>
      </c>
      <c r="E127" s="7">
        <f t="shared" si="14"/>
        <v>72.145938947567345</v>
      </c>
      <c r="G127" s="8">
        <v>0.1</v>
      </c>
      <c r="H127">
        <f t="shared" si="15"/>
        <v>151.27862675491954</v>
      </c>
      <c r="I127">
        <f t="shared" si="16"/>
        <v>-5.2020979934218854</v>
      </c>
      <c r="K127" s="8">
        <v>0.1</v>
      </c>
      <c r="L127">
        <f t="shared" si="17"/>
        <v>36.472083068489582</v>
      </c>
      <c r="M127">
        <f t="shared" si="18"/>
        <v>10.011209710028737</v>
      </c>
    </row>
    <row r="128" spans="1:13" x14ac:dyDescent="0.25">
      <c r="A128">
        <v>102</v>
      </c>
      <c r="B128">
        <f t="shared" si="11"/>
        <v>2.0584879738711592</v>
      </c>
      <c r="C128">
        <f t="shared" si="12"/>
        <v>26.841439036760402</v>
      </c>
      <c r="D128">
        <f t="shared" si="13"/>
        <v>51.227973491879609</v>
      </c>
      <c r="E128" s="7">
        <f t="shared" si="14"/>
        <v>71.493466969251728</v>
      </c>
      <c r="G128" s="8"/>
    </row>
    <row r="129" spans="1:7" x14ac:dyDescent="0.25">
      <c r="A129">
        <v>103</v>
      </c>
      <c r="B129">
        <f t="shared" si="11"/>
        <v>2.1699367149711968</v>
      </c>
      <c r="C129">
        <f t="shared" si="12"/>
        <v>26.744524045886134</v>
      </c>
      <c r="D129">
        <f t="shared" si="13"/>
        <v>50.885351912142681</v>
      </c>
      <c r="E129" s="7">
        <f t="shared" si="14"/>
        <v>70.845340619692735</v>
      </c>
      <c r="G129" s="1"/>
    </row>
    <row r="130" spans="1:7" x14ac:dyDescent="0.25">
      <c r="A130">
        <v>104</v>
      </c>
      <c r="B130">
        <f t="shared" si="11"/>
        <v>2.2854379881061302</v>
      </c>
      <c r="C130">
        <f t="shared" si="12"/>
        <v>26.647609055011866</v>
      </c>
      <c r="D130">
        <f t="shared" si="13"/>
        <v>50.543974416399976</v>
      </c>
      <c r="E130" s="7">
        <f t="shared" si="14"/>
        <v>70.201544234522856</v>
      </c>
      <c r="G130" s="8"/>
    </row>
    <row r="131" spans="1:7" x14ac:dyDescent="0.25">
      <c r="A131">
        <v>105</v>
      </c>
      <c r="B131">
        <f t="shared" si="11"/>
        <v>2.4050526929830269</v>
      </c>
      <c r="C131">
        <f t="shared" si="12"/>
        <v>26.550694064137602</v>
      </c>
      <c r="D131">
        <f t="shared" si="13"/>
        <v>50.20384100465153</v>
      </c>
      <c r="E131" s="7">
        <f t="shared" si="14"/>
        <v>69.562062149374654</v>
      </c>
      <c r="G131" s="8"/>
    </row>
    <row r="132" spans="1:7" x14ac:dyDescent="0.25">
      <c r="A132">
        <v>106</v>
      </c>
      <c r="B132">
        <f t="shared" si="11"/>
        <v>2.5288401285352702</v>
      </c>
      <c r="C132">
        <f t="shared" si="12"/>
        <v>26.453779073263334</v>
      </c>
      <c r="D132">
        <f t="shared" si="13"/>
        <v>49.86495167689732</v>
      </c>
      <c r="E132" s="7">
        <f t="shared" si="14"/>
        <v>68.926878699880589</v>
      </c>
      <c r="G132" s="1"/>
    </row>
    <row r="133" spans="1:7" x14ac:dyDescent="0.25">
      <c r="A133">
        <v>107</v>
      </c>
      <c r="B133">
        <f t="shared" si="11"/>
        <v>2.6568579645550496</v>
      </c>
      <c r="C133">
        <f t="shared" si="12"/>
        <v>26.356864082389066</v>
      </c>
      <c r="D133">
        <f t="shared" si="13"/>
        <v>49.52730643313734</v>
      </c>
      <c r="E133" s="7">
        <f t="shared" si="14"/>
        <v>68.295978221673181</v>
      </c>
      <c r="G133" s="8"/>
    </row>
    <row r="134" spans="1:7" x14ac:dyDescent="0.25">
      <c r="A134">
        <v>108</v>
      </c>
      <c r="B134">
        <f t="shared" si="11"/>
        <v>2.7891622163471759</v>
      </c>
      <c r="C134">
        <f t="shared" si="12"/>
        <v>26.259949091514798</v>
      </c>
      <c r="D134">
        <f t="shared" si="13"/>
        <v>49.190905273371612</v>
      </c>
      <c r="E134" s="7">
        <f t="shared" si="14"/>
        <v>67.669345050384976</v>
      </c>
      <c r="G134" s="8"/>
    </row>
    <row r="135" spans="1:7" x14ac:dyDescent="0.25">
      <c r="A135">
        <v>109</v>
      </c>
      <c r="B135">
        <f t="shared" si="11"/>
        <v>2.9258072223268563</v>
      </c>
      <c r="C135">
        <f t="shared" si="12"/>
        <v>26.163034100640534</v>
      </c>
      <c r="D135">
        <f t="shared" si="13"/>
        <v>48.855748197600128</v>
      </c>
      <c r="E135" s="7">
        <f t="shared" si="14"/>
        <v>67.046963521648479</v>
      </c>
      <c r="G135" s="1"/>
    </row>
    <row r="136" spans="1:7" x14ac:dyDescent="0.25">
      <c r="A136">
        <v>110</v>
      </c>
      <c r="B136">
        <f t="shared" si="11"/>
        <v>3.0668456244806279</v>
      </c>
      <c r="C136">
        <f t="shared" si="12"/>
        <v>26.066119109766266</v>
      </c>
      <c r="D136">
        <f t="shared" si="13"/>
        <v>48.521835205822882</v>
      </c>
      <c r="E136" s="7">
        <f t="shared" si="14"/>
        <v>66.42881797109618</v>
      </c>
      <c r="G136" s="8"/>
    </row>
    <row r="137" spans="1:7" x14ac:dyDescent="0.25">
      <c r="A137">
        <v>111</v>
      </c>
      <c r="B137">
        <f t="shared" si="11"/>
        <v>3.2123283516068319</v>
      </c>
      <c r="C137">
        <f t="shared" si="12"/>
        <v>25.969204118891998</v>
      </c>
      <c r="D137">
        <f t="shared" si="13"/>
        <v>48.189166298039879</v>
      </c>
      <c r="E137" s="7">
        <f t="shared" si="14"/>
        <v>65.814892734360612</v>
      </c>
      <c r="G137" s="8"/>
    </row>
    <row r="138" spans="1:7" x14ac:dyDescent="0.25">
      <c r="A138">
        <v>112</v>
      </c>
      <c r="B138">
        <f t="shared" si="11"/>
        <v>3.3623046052498715</v>
      </c>
      <c r="C138">
        <f t="shared" si="12"/>
        <v>25.872289128017734</v>
      </c>
      <c r="D138">
        <f t="shared" si="13"/>
        <v>47.857741474251114</v>
      </c>
      <c r="E138" s="7">
        <f t="shared" si="14"/>
        <v>65.205172147074279</v>
      </c>
      <c r="G138" s="1"/>
    </row>
    <row r="139" spans="1:7" x14ac:dyDescent="0.25">
      <c r="A139">
        <v>113</v>
      </c>
      <c r="B139">
        <f t="shared" si="11"/>
        <v>3.5168218482402835</v>
      </c>
      <c r="C139">
        <f t="shared" si="12"/>
        <v>25.775374137143466</v>
      </c>
      <c r="D139">
        <f t="shared" si="13"/>
        <v>47.527560734456586</v>
      </c>
      <c r="E139" s="7">
        <f t="shared" si="14"/>
        <v>64.599640544869686</v>
      </c>
      <c r="G139" s="8"/>
    </row>
    <row r="140" spans="1:7" x14ac:dyDescent="0.25">
      <c r="A140">
        <v>114</v>
      </c>
      <c r="B140">
        <f t="shared" si="11"/>
        <v>3.675925795751553</v>
      </c>
      <c r="C140">
        <f t="shared" si="12"/>
        <v>25.678459146269198</v>
      </c>
      <c r="D140">
        <f t="shared" si="13"/>
        <v>47.198624078656309</v>
      </c>
      <c r="E140" s="7">
        <f t="shared" si="14"/>
        <v>63.998282263379373</v>
      </c>
      <c r="G140" s="8"/>
    </row>
    <row r="141" spans="1:7" x14ac:dyDescent="0.25">
      <c r="A141">
        <v>115</v>
      </c>
      <c r="B141">
        <f t="shared" si="11"/>
        <v>3.8396604087830628</v>
      </c>
      <c r="C141">
        <f t="shared" si="12"/>
        <v>25.581544155394933</v>
      </c>
      <c r="D141">
        <f t="shared" si="13"/>
        <v>46.870931506850269</v>
      </c>
      <c r="E141" s="7">
        <f t="shared" si="14"/>
        <v>63.40108163823583</v>
      </c>
      <c r="G141" s="1"/>
    </row>
    <row r="142" spans="1:7" x14ac:dyDescent="0.25">
      <c r="A142">
        <v>116</v>
      </c>
      <c r="B142">
        <f t="shared" si="11"/>
        <v>4.0080678899780526</v>
      </c>
      <c r="C142">
        <f t="shared" si="12"/>
        <v>25.484629164520666</v>
      </c>
      <c r="D142">
        <f t="shared" si="13"/>
        <v>46.544483019038466</v>
      </c>
      <c r="E142" s="7">
        <f t="shared" si="14"/>
        <v>62.808023005071576</v>
      </c>
      <c r="G142" s="8"/>
    </row>
    <row r="143" spans="1:7" x14ac:dyDescent="0.25">
      <c r="A143">
        <v>117</v>
      </c>
      <c r="B143">
        <f t="shared" si="11"/>
        <v>4.1811886816851604</v>
      </c>
      <c r="C143">
        <f t="shared" si="12"/>
        <v>25.387714173646398</v>
      </c>
      <c r="D143">
        <f t="shared" si="13"/>
        <v>46.219278615220915</v>
      </c>
      <c r="E143" s="7">
        <f t="shared" si="14"/>
        <v>62.219090699519136</v>
      </c>
      <c r="G143" s="8"/>
    </row>
    <row r="144" spans="1:7" x14ac:dyDescent="0.25">
      <c r="A144">
        <v>118</v>
      </c>
      <c r="B144">
        <f t="shared" si="11"/>
        <v>4.3590614661715854</v>
      </c>
      <c r="C144">
        <f t="shared" si="12"/>
        <v>25.290799182772133</v>
      </c>
      <c r="D144">
        <f t="shared" si="13"/>
        <v>45.895318295397601</v>
      </c>
      <c r="E144" s="7">
        <f t="shared" si="14"/>
        <v>61.634269057211007</v>
      </c>
      <c r="G144" s="1"/>
    </row>
    <row r="145" spans="1:7" x14ac:dyDescent="0.25">
      <c r="A145">
        <v>119</v>
      </c>
      <c r="B145">
        <f t="shared" si="11"/>
        <v>4.5417231678963574</v>
      </c>
      <c r="C145">
        <f t="shared" si="12"/>
        <v>25.193884191897865</v>
      </c>
      <c r="D145">
        <f t="shared" si="13"/>
        <v>45.572602059568524</v>
      </c>
      <c r="E145" s="7">
        <f t="shared" si="14"/>
        <v>61.053542413779702</v>
      </c>
      <c r="G145" s="8"/>
    </row>
    <row r="146" spans="1:7" x14ac:dyDescent="0.25">
      <c r="A146">
        <v>120</v>
      </c>
      <c r="B146">
        <f t="shared" si="11"/>
        <v>4.7292089577527108</v>
      </c>
      <c r="C146">
        <f t="shared" si="12"/>
        <v>25.096969201023597</v>
      </c>
      <c r="D146">
        <f t="shared" si="13"/>
        <v>45.251129907733684</v>
      </c>
      <c r="E146" s="7">
        <f t="shared" si="14"/>
        <v>60.476895104857739</v>
      </c>
      <c r="G146" s="8"/>
    </row>
    <row r="147" spans="1:7" x14ac:dyDescent="0.25">
      <c r="A147">
        <v>121</v>
      </c>
      <c r="B147">
        <f t="shared" si="11"/>
        <v>4.9215522591887542</v>
      </c>
      <c r="C147">
        <f t="shared" si="12"/>
        <v>25.000054210149333</v>
      </c>
      <c r="D147">
        <f t="shared" si="13"/>
        <v>44.930901839893096</v>
      </c>
      <c r="E147" s="7">
        <f t="shared" si="14"/>
        <v>59.904311466077644</v>
      </c>
      <c r="G147" s="1"/>
    </row>
    <row r="148" spans="1:7" x14ac:dyDescent="0.25">
      <c r="A148">
        <v>122</v>
      </c>
      <c r="B148">
        <f t="shared" si="11"/>
        <v>5.1187847561169342</v>
      </c>
      <c r="C148">
        <f t="shared" si="12"/>
        <v>24.903139219275065</v>
      </c>
      <c r="D148">
        <f t="shared" si="13"/>
        <v>44.611917856046745</v>
      </c>
      <c r="E148" s="7">
        <f t="shared" si="14"/>
        <v>59.335775833071914</v>
      </c>
      <c r="G148" s="8"/>
    </row>
    <row r="149" spans="1:7" x14ac:dyDescent="0.25">
      <c r="A149">
        <v>123</v>
      </c>
      <c r="B149">
        <f t="shared" si="11"/>
        <v>5.3209364025235786</v>
      </c>
      <c r="C149">
        <f t="shared" si="12"/>
        <v>24.806224228400797</v>
      </c>
      <c r="D149">
        <f t="shared" si="13"/>
        <v>44.294177956194638</v>
      </c>
      <c r="E149" s="7">
        <f t="shared" si="14"/>
        <v>58.771272541473067</v>
      </c>
      <c r="G149" s="8"/>
    </row>
    <row r="150" spans="1:7" x14ac:dyDescent="0.25">
      <c r="A150">
        <v>124</v>
      </c>
      <c r="B150">
        <f t="shared" si="11"/>
        <v>5.5280354336910804</v>
      </c>
      <c r="C150">
        <f t="shared" si="12"/>
        <v>24.709309237526533</v>
      </c>
      <c r="D150">
        <f t="shared" si="13"/>
        <v>43.977682140336775</v>
      </c>
      <c r="E150" s="7">
        <f t="shared" si="14"/>
        <v>58.210785926913623</v>
      </c>
      <c r="G150" s="1"/>
    </row>
    <row r="151" spans="1:7" x14ac:dyDescent="0.25">
      <c r="A151">
        <v>125</v>
      </c>
      <c r="B151">
        <f t="shared" si="11"/>
        <v>5.740108378946811</v>
      </c>
      <c r="C151">
        <f t="shared" si="12"/>
        <v>24.612394246652265</v>
      </c>
      <c r="D151">
        <f t="shared" si="13"/>
        <v>43.662430408473142</v>
      </c>
      <c r="E151" s="7">
        <f t="shared" si="14"/>
        <v>57.654300325026078</v>
      </c>
      <c r="G151" s="8"/>
    </row>
    <row r="152" spans="1:7" x14ac:dyDescent="0.25">
      <c r="A152">
        <v>126</v>
      </c>
      <c r="B152">
        <f t="shared" si="11"/>
        <v>5.9571800758539197</v>
      </c>
      <c r="C152">
        <f t="shared" si="12"/>
        <v>24.515479255777997</v>
      </c>
      <c r="D152">
        <f t="shared" si="13"/>
        <v>43.348422760603761</v>
      </c>
      <c r="E152" s="7">
        <f t="shared" si="14"/>
        <v>57.101800071442966</v>
      </c>
      <c r="G152" s="8"/>
    </row>
    <row r="153" spans="1:7" x14ac:dyDescent="0.25">
      <c r="A153">
        <v>127</v>
      </c>
      <c r="B153">
        <f t="shared" si="11"/>
        <v>6.1792736857614869</v>
      </c>
      <c r="C153">
        <f t="shared" si="12"/>
        <v>24.418564264903733</v>
      </c>
      <c r="D153">
        <f t="shared" si="13"/>
        <v>43.035659196728616</v>
      </c>
      <c r="E153" s="7">
        <f t="shared" si="14"/>
        <v>56.553269501796784</v>
      </c>
      <c r="G153" s="1"/>
    </row>
    <row r="154" spans="1:7" x14ac:dyDescent="0.25">
      <c r="A154">
        <v>128</v>
      </c>
      <c r="B154">
        <f t="shared" si="11"/>
        <v>6.4064107106325849</v>
      </c>
      <c r="C154">
        <f t="shared" si="12"/>
        <v>24.321649274029465</v>
      </c>
      <c r="D154">
        <f t="shared" si="13"/>
        <v>42.724139716847716</v>
      </c>
      <c r="E154" s="7">
        <f t="shared" si="14"/>
        <v>56.008692951720057</v>
      </c>
      <c r="G154" s="8"/>
    </row>
    <row r="155" spans="1:7" x14ac:dyDescent="0.25">
      <c r="A155">
        <v>129</v>
      </c>
      <c r="B155">
        <f t="shared" si="11"/>
        <v>6.6386110110711378</v>
      </c>
      <c r="C155">
        <f t="shared" si="12"/>
        <v>24.224734283155197</v>
      </c>
      <c r="D155">
        <f t="shared" si="13"/>
        <v>42.413864320961054</v>
      </c>
      <c r="E155" s="7">
        <f t="shared" si="14"/>
        <v>55.468054756845291</v>
      </c>
      <c r="G155" s="8"/>
    </row>
    <row r="156" spans="1:7" x14ac:dyDescent="0.25">
      <c r="A156">
        <v>130</v>
      </c>
      <c r="B156">
        <f t="shared" ref="B156:B219" si="19">black_scholes_price($A156,$B$2,$B$3,$B$4,$B$5,$B$6,A$26)</f>
        <v>6.875892825469915</v>
      </c>
      <c r="C156">
        <f t="shared" ref="C156:C219" si="20">$C$10+$C$13*(A156-$B$1)</f>
        <v>24.127819292280932</v>
      </c>
      <c r="D156">
        <f t="shared" ref="D156:D219" si="21">C156+0.5*$C$14*(A156-$B$1)^2</f>
        <v>42.104833009068642</v>
      </c>
      <c r="E156" s="7">
        <f t="shared" ref="E156:E219" si="22">D156+$C$19*(A156-$B$1)^3/6</f>
        <v>54.93133925280501</v>
      </c>
      <c r="G156" s="1"/>
    </row>
    <row r="157" spans="1:7" x14ac:dyDescent="0.25">
      <c r="A157">
        <v>131</v>
      </c>
      <c r="B157">
        <f t="shared" si="19"/>
        <v>7.1182727902046601</v>
      </c>
      <c r="C157">
        <f t="shared" si="20"/>
        <v>24.030904301406665</v>
      </c>
      <c r="D157">
        <f t="shared" si="21"/>
        <v>41.797045781170461</v>
      </c>
      <c r="E157" s="7">
        <f t="shared" si="22"/>
        <v>54.398530775231706</v>
      </c>
      <c r="G157" s="8"/>
    </row>
    <row r="158" spans="1:7" x14ac:dyDescent="0.25">
      <c r="A158">
        <v>132</v>
      </c>
      <c r="B158">
        <f t="shared" si="19"/>
        <v>7.3657659608005552</v>
      </c>
      <c r="C158">
        <f t="shared" si="20"/>
        <v>23.933989310532397</v>
      </c>
      <c r="D158">
        <f t="shared" si="21"/>
        <v>41.490502637266516</v>
      </c>
      <c r="E158" s="7">
        <f t="shared" si="22"/>
        <v>53.869613659757896</v>
      </c>
      <c r="G158" s="8"/>
    </row>
    <row r="159" spans="1:7" x14ac:dyDescent="0.25">
      <c r="A159">
        <v>133</v>
      </c>
      <c r="B159">
        <f t="shared" si="19"/>
        <v>7.6183858340000938</v>
      </c>
      <c r="C159">
        <f t="shared" si="20"/>
        <v>23.837074319658132</v>
      </c>
      <c r="D159">
        <f t="shared" si="21"/>
        <v>41.18520357735683</v>
      </c>
      <c r="E159" s="7">
        <f t="shared" si="22"/>
        <v>53.34457224201612</v>
      </c>
      <c r="G159" s="1"/>
    </row>
    <row r="160" spans="1:7" x14ac:dyDescent="0.25">
      <c r="A160">
        <v>134</v>
      </c>
      <c r="B160">
        <f t="shared" si="19"/>
        <v>7.8761443706630097</v>
      </c>
      <c r="C160">
        <f t="shared" si="20"/>
        <v>23.740159328783864</v>
      </c>
      <c r="D160">
        <f t="shared" si="21"/>
        <v>40.881148601441375</v>
      </c>
      <c r="E160" s="7">
        <f t="shared" si="22"/>
        <v>52.82339085763887</v>
      </c>
      <c r="G160" s="8"/>
    </row>
    <row r="161" spans="1:7" x14ac:dyDescent="0.25">
      <c r="A161">
        <v>135</v>
      </c>
      <c r="B161">
        <f t="shared" si="19"/>
        <v>8.1390520194314036</v>
      </c>
      <c r="C161">
        <f t="shared" si="20"/>
        <v>23.643244337909596</v>
      </c>
      <c r="D161">
        <f t="shared" si="21"/>
        <v>40.578337709520156</v>
      </c>
      <c r="E161" s="7">
        <f t="shared" si="22"/>
        <v>52.306053842258649</v>
      </c>
      <c r="G161" s="8"/>
    </row>
    <row r="162" spans="1:7" x14ac:dyDescent="0.25">
      <c r="A162">
        <v>136</v>
      </c>
      <c r="B162">
        <f t="shared" si="19"/>
        <v>8.407117741095206</v>
      </c>
      <c r="C162">
        <f t="shared" si="20"/>
        <v>23.546329347035332</v>
      </c>
      <c r="D162">
        <f t="shared" si="21"/>
        <v>40.276770901593196</v>
      </c>
      <c r="E162" s="7">
        <f t="shared" si="22"/>
        <v>51.792545531508004</v>
      </c>
      <c r="G162" s="1"/>
    </row>
    <row r="163" spans="1:7" x14ac:dyDescent="0.25">
      <c r="A163">
        <v>137</v>
      </c>
      <c r="B163">
        <f t="shared" si="19"/>
        <v>8.6803490335954585</v>
      </c>
      <c r="C163">
        <f t="shared" si="20"/>
        <v>23.449414356161064</v>
      </c>
      <c r="D163">
        <f t="shared" si="21"/>
        <v>39.976448177660458</v>
      </c>
      <c r="E163" s="7">
        <f t="shared" si="22"/>
        <v>51.282850261019412</v>
      </c>
      <c r="G163" s="8"/>
    </row>
    <row r="164" spans="1:7" x14ac:dyDescent="0.25">
      <c r="A164">
        <v>138</v>
      </c>
      <c r="B164">
        <f t="shared" si="19"/>
        <v>8.9587519576047967</v>
      </c>
      <c r="C164">
        <f t="shared" si="20"/>
        <v>23.352499365286796</v>
      </c>
      <c r="D164">
        <f t="shared" si="21"/>
        <v>39.677369537721972</v>
      </c>
      <c r="E164" s="7">
        <f t="shared" si="22"/>
        <v>50.776952366425405</v>
      </c>
      <c r="G164" s="8"/>
    </row>
    <row r="165" spans="1:7" x14ac:dyDescent="0.25">
      <c r="A165">
        <v>139</v>
      </c>
      <c r="B165">
        <f t="shared" si="19"/>
        <v>9.2423311626270852</v>
      </c>
      <c r="C165">
        <f t="shared" si="20"/>
        <v>23.255584374412528</v>
      </c>
      <c r="D165">
        <f t="shared" si="21"/>
        <v>39.379534981777724</v>
      </c>
      <c r="E165" s="7">
        <f t="shared" si="22"/>
        <v>50.274836183358495</v>
      </c>
      <c r="G165" s="1"/>
    </row>
    <row r="166" spans="1:7" x14ac:dyDescent="0.25">
      <c r="A166">
        <v>140</v>
      </c>
      <c r="B166">
        <f t="shared" si="19"/>
        <v>9.5310899135602014</v>
      </c>
      <c r="C166">
        <f t="shared" si="20"/>
        <v>23.158669383538264</v>
      </c>
      <c r="D166">
        <f t="shared" si="21"/>
        <v>39.082944509827719</v>
      </c>
      <c r="E166" s="7">
        <f t="shared" si="22"/>
        <v>49.776486047451201</v>
      </c>
      <c r="G166" s="8"/>
    </row>
    <row r="167" spans="1:7" x14ac:dyDescent="0.25">
      <c r="A167">
        <v>141</v>
      </c>
      <c r="B167">
        <f t="shared" si="19"/>
        <v>9.82503011766768</v>
      </c>
      <c r="C167">
        <f t="shared" si="20"/>
        <v>23.061754392663996</v>
      </c>
      <c r="D167">
        <f t="shared" si="21"/>
        <v>38.787598121871952</v>
      </c>
      <c r="E167" s="7">
        <f t="shared" si="22"/>
        <v>49.281886294336019</v>
      </c>
      <c r="G167" s="8"/>
    </row>
    <row r="168" spans="1:7" x14ac:dyDescent="0.25">
      <c r="A168">
        <v>142</v>
      </c>
      <c r="B168">
        <f t="shared" si="19"/>
        <v>10.124152351908158</v>
      </c>
      <c r="C168">
        <f t="shared" si="20"/>
        <v>22.964839401789732</v>
      </c>
      <c r="D168">
        <f t="shared" si="21"/>
        <v>38.493495817910436</v>
      </c>
      <c r="E168" s="7">
        <f t="shared" si="22"/>
        <v>48.791021259645476</v>
      </c>
      <c r="G168" s="1"/>
    </row>
    <row r="169" spans="1:7" x14ac:dyDescent="0.25">
      <c r="A169">
        <v>143</v>
      </c>
      <c r="B169">
        <f t="shared" si="19"/>
        <v>10.428455890572344</v>
      </c>
      <c r="C169">
        <f t="shared" si="20"/>
        <v>22.867924410915464</v>
      </c>
      <c r="D169">
        <f t="shared" si="21"/>
        <v>38.20063759794315</v>
      </c>
      <c r="E169" s="7">
        <f t="shared" si="22"/>
        <v>48.303875279012082</v>
      </c>
      <c r="G169" s="8"/>
    </row>
    <row r="170" spans="1:7" x14ac:dyDescent="0.25">
      <c r="A170">
        <v>144</v>
      </c>
      <c r="B170">
        <f t="shared" si="19"/>
        <v>10.737938733180393</v>
      </c>
      <c r="C170">
        <f t="shared" si="20"/>
        <v>22.771009420041196</v>
      </c>
      <c r="D170">
        <f t="shared" si="21"/>
        <v>37.909023461970108</v>
      </c>
      <c r="E170" s="7">
        <f t="shared" si="22"/>
        <v>47.820432688068344</v>
      </c>
      <c r="G170" s="8"/>
    </row>
    <row r="171" spans="1:7" x14ac:dyDescent="0.25">
      <c r="A171">
        <v>145</v>
      </c>
      <c r="B171">
        <f t="shared" si="19"/>
        <v>11.052597632594164</v>
      </c>
      <c r="C171">
        <f t="shared" si="20"/>
        <v>22.674094429166928</v>
      </c>
      <c r="D171">
        <f t="shared" si="21"/>
        <v>37.61865340999131</v>
      </c>
      <c r="E171" s="7">
        <f t="shared" si="22"/>
        <v>47.340677822446786</v>
      </c>
      <c r="G171" s="1"/>
    </row>
    <row r="172" spans="1:7" x14ac:dyDescent="0.25">
      <c r="A172">
        <v>146</v>
      </c>
      <c r="B172">
        <f t="shared" si="19"/>
        <v>11.372428123300757</v>
      </c>
      <c r="C172">
        <f t="shared" si="20"/>
        <v>22.57717943829266</v>
      </c>
      <c r="D172">
        <f t="shared" si="21"/>
        <v>37.32952744200675</v>
      </c>
      <c r="E172" s="7">
        <f t="shared" si="22"/>
        <v>46.864595017779912</v>
      </c>
      <c r="G172" s="8"/>
    </row>
    <row r="173" spans="1:7" x14ac:dyDescent="0.25">
      <c r="A173">
        <v>147</v>
      </c>
      <c r="B173">
        <f t="shared" si="19"/>
        <v>11.69742454982633</v>
      </c>
      <c r="C173">
        <f t="shared" si="20"/>
        <v>22.480264447418396</v>
      </c>
      <c r="D173">
        <f t="shared" si="21"/>
        <v>37.041645558016441</v>
      </c>
      <c r="E173" s="7">
        <f t="shared" si="22"/>
        <v>46.392168609700249</v>
      </c>
      <c r="G173" s="8"/>
    </row>
    <row r="174" spans="1:7" x14ac:dyDescent="0.25">
      <c r="A174">
        <v>148</v>
      </c>
      <c r="B174">
        <f t="shared" si="19"/>
        <v>12.027580095240225</v>
      </c>
      <c r="C174">
        <f t="shared" si="20"/>
        <v>22.383349456544131</v>
      </c>
      <c r="D174">
        <f t="shared" si="21"/>
        <v>36.755007758020369</v>
      </c>
      <c r="E174" s="7">
        <f t="shared" si="22"/>
        <v>45.923382933840301</v>
      </c>
      <c r="G174" s="1"/>
    </row>
    <row r="175" spans="1:7" x14ac:dyDescent="0.25">
      <c r="A175">
        <v>149</v>
      </c>
      <c r="B175">
        <f t="shared" si="19"/>
        <v>12.36288680971218</v>
      </c>
      <c r="C175">
        <f t="shared" si="20"/>
        <v>22.286434465669863</v>
      </c>
      <c r="D175">
        <f t="shared" si="21"/>
        <v>36.469614042018534</v>
      </c>
      <c r="E175" s="7">
        <f t="shared" si="22"/>
        <v>45.458222325832573</v>
      </c>
      <c r="G175" s="8"/>
    </row>
    <row r="176" spans="1:7" x14ac:dyDescent="0.25">
      <c r="A176">
        <v>150</v>
      </c>
      <c r="B176">
        <f t="shared" si="19"/>
        <v>12.703335639086959</v>
      </c>
      <c r="C176">
        <f t="shared" si="20"/>
        <v>22.189519474795595</v>
      </c>
      <c r="D176">
        <f t="shared" si="21"/>
        <v>36.185464410010937</v>
      </c>
      <c r="E176" s="7">
        <f t="shared" si="22"/>
        <v>44.996671121309582</v>
      </c>
      <c r="G176" s="8"/>
    </row>
    <row r="177" spans="1:7" x14ac:dyDescent="0.25">
      <c r="A177">
        <v>151</v>
      </c>
      <c r="B177">
        <f t="shared" si="19"/>
        <v>13.048916453442288</v>
      </c>
      <c r="C177">
        <f t="shared" si="20"/>
        <v>22.092604483921328</v>
      </c>
      <c r="D177">
        <f t="shared" si="21"/>
        <v>35.902558861997584</v>
      </c>
      <c r="E177" s="7">
        <f t="shared" si="22"/>
        <v>44.538713655903848</v>
      </c>
      <c r="G177" s="1"/>
    </row>
    <row r="178" spans="1:7" x14ac:dyDescent="0.25">
      <c r="A178">
        <v>152</v>
      </c>
      <c r="B178">
        <f t="shared" si="19"/>
        <v>13.399618075598433</v>
      </c>
      <c r="C178">
        <f t="shared" si="20"/>
        <v>21.99568949304706</v>
      </c>
      <c r="D178">
        <f t="shared" si="21"/>
        <v>35.620897397978474</v>
      </c>
      <c r="E178" s="7">
        <f t="shared" si="22"/>
        <v>44.084334265247882</v>
      </c>
      <c r="G178" s="8"/>
    </row>
    <row r="179" spans="1:7" x14ac:dyDescent="0.25">
      <c r="A179">
        <v>153</v>
      </c>
      <c r="B179">
        <f t="shared" si="19"/>
        <v>13.75542830954857</v>
      </c>
      <c r="C179">
        <f t="shared" si="20"/>
        <v>21.898774502172795</v>
      </c>
      <c r="D179">
        <f t="shared" si="21"/>
        <v>35.34048001795361</v>
      </c>
      <c r="E179" s="7">
        <f t="shared" si="22"/>
        <v>43.633517284974204</v>
      </c>
      <c r="G179" s="8"/>
    </row>
    <row r="180" spans="1:7" x14ac:dyDescent="0.25">
      <c r="A180">
        <v>154</v>
      </c>
      <c r="B180">
        <f t="shared" si="19"/>
        <v>14.116333968781824</v>
      </c>
      <c r="C180">
        <f t="shared" si="20"/>
        <v>21.801859511298527</v>
      </c>
      <c r="D180">
        <f t="shared" si="21"/>
        <v>35.061306721922982</v>
      </c>
      <c r="E180" s="7">
        <f t="shared" si="22"/>
        <v>43.186247050715309</v>
      </c>
      <c r="G180" s="1"/>
    </row>
    <row r="181" spans="1:7" x14ac:dyDescent="0.25">
      <c r="A181">
        <v>155</v>
      </c>
      <c r="B181">
        <f t="shared" si="19"/>
        <v>14.482320904471528</v>
      </c>
      <c r="C181">
        <f t="shared" si="20"/>
        <v>21.704944520424263</v>
      </c>
      <c r="D181">
        <f t="shared" si="21"/>
        <v>34.783377509886598</v>
      </c>
      <c r="E181" s="7">
        <f t="shared" si="22"/>
        <v>42.742507898103732</v>
      </c>
      <c r="G181" s="8"/>
    </row>
    <row r="182" spans="1:7" x14ac:dyDescent="0.25">
      <c r="A182">
        <v>156</v>
      </c>
      <c r="B182">
        <f t="shared" si="19"/>
        <v>14.853374033503691</v>
      </c>
      <c r="C182">
        <f t="shared" si="20"/>
        <v>21.608029529549995</v>
      </c>
      <c r="D182">
        <f t="shared" si="21"/>
        <v>34.506692381844452</v>
      </c>
      <c r="E182" s="7">
        <f t="shared" si="22"/>
        <v>42.302284162771969</v>
      </c>
      <c r="G182" s="8"/>
    </row>
    <row r="183" spans="1:7" x14ac:dyDescent="0.25">
      <c r="A183">
        <v>157</v>
      </c>
      <c r="B183">
        <f t="shared" si="19"/>
        <v>15.229477366321262</v>
      </c>
      <c r="C183">
        <f t="shared" si="20"/>
        <v>21.511114538675727</v>
      </c>
      <c r="D183">
        <f t="shared" si="21"/>
        <v>34.23125133779655</v>
      </c>
      <c r="E183" s="7">
        <f t="shared" si="22"/>
        <v>41.865560180352546</v>
      </c>
      <c r="G183" s="1"/>
    </row>
    <row r="184" spans="1:7" x14ac:dyDescent="0.25">
      <c r="A184">
        <v>158</v>
      </c>
      <c r="B184">
        <f t="shared" si="19"/>
        <v>15.610614034562289</v>
      </c>
      <c r="C184">
        <f t="shared" si="20"/>
        <v>21.414199547801459</v>
      </c>
      <c r="D184">
        <f t="shared" si="21"/>
        <v>33.957054377742892</v>
      </c>
      <c r="E184" s="7">
        <f t="shared" si="22"/>
        <v>41.432320286477967</v>
      </c>
      <c r="G184" s="8"/>
    </row>
    <row r="185" spans="1:7" x14ac:dyDescent="0.25">
      <c r="A185">
        <v>159</v>
      </c>
      <c r="B185">
        <f t="shared" si="19"/>
        <v>15.996766318470861</v>
      </c>
      <c r="C185">
        <f t="shared" si="20"/>
        <v>21.317284556927195</v>
      </c>
      <c r="D185">
        <f t="shared" si="21"/>
        <v>33.684101501683472</v>
      </c>
      <c r="E185" s="7">
        <f t="shared" si="22"/>
        <v>41.002548816780745</v>
      </c>
      <c r="G185" s="8"/>
    </row>
    <row r="186" spans="1:7" x14ac:dyDescent="0.25">
      <c r="A186">
        <v>160</v>
      </c>
      <c r="B186">
        <f t="shared" si="19"/>
        <v>16.387915674060999</v>
      </c>
      <c r="C186">
        <f t="shared" si="20"/>
        <v>21.220369566052927</v>
      </c>
      <c r="D186">
        <f t="shared" si="21"/>
        <v>33.412392709618288</v>
      </c>
      <c r="E186" s="7">
        <f t="shared" si="22"/>
        <v>40.576230106893391</v>
      </c>
      <c r="G186" s="1"/>
    </row>
    <row r="187" spans="1:7" x14ac:dyDescent="0.25">
      <c r="A187">
        <v>161</v>
      </c>
      <c r="B187">
        <f t="shared" si="19"/>
        <v>16.784042760015694</v>
      </c>
      <c r="C187">
        <f t="shared" si="20"/>
        <v>21.123454575178663</v>
      </c>
      <c r="D187">
        <f t="shared" si="21"/>
        <v>33.141928001547356</v>
      </c>
      <c r="E187" s="7">
        <f t="shared" si="22"/>
        <v>40.153348492448437</v>
      </c>
      <c r="G187" s="8"/>
    </row>
    <row r="188" spans="1:7" x14ac:dyDescent="0.25">
      <c r="A188">
        <v>162</v>
      </c>
      <c r="B188">
        <f t="shared" si="19"/>
        <v>17.185127464303804</v>
      </c>
      <c r="C188">
        <f t="shared" si="20"/>
        <v>21.026539584304395</v>
      </c>
      <c r="D188">
        <f t="shared" si="21"/>
        <v>32.872707377470661</v>
      </c>
      <c r="E188" s="7">
        <f t="shared" si="22"/>
        <v>39.733888309078381</v>
      </c>
      <c r="G188" s="8"/>
    </row>
    <row r="189" spans="1:7" x14ac:dyDescent="0.25">
      <c r="A189">
        <v>163</v>
      </c>
      <c r="B189">
        <f t="shared" si="19"/>
        <v>17.591148930499379</v>
      </c>
      <c r="C189">
        <f t="shared" si="20"/>
        <v>20.929624593430127</v>
      </c>
      <c r="D189">
        <f t="shared" si="21"/>
        <v>32.604730837388203</v>
      </c>
      <c r="E189" s="7">
        <f t="shared" si="22"/>
        <v>39.317833892415727</v>
      </c>
      <c r="G189" s="1"/>
    </row>
    <row r="190" spans="1:7" x14ac:dyDescent="0.25">
      <c r="A190">
        <v>164</v>
      </c>
      <c r="B190">
        <f t="shared" si="19"/>
        <v>18.002085583788798</v>
      </c>
      <c r="C190">
        <f t="shared" si="20"/>
        <v>20.832709602555859</v>
      </c>
      <c r="D190">
        <f t="shared" si="21"/>
        <v>32.33799838129999</v>
      </c>
      <c r="E190" s="7">
        <f t="shared" si="22"/>
        <v>38.905169578093009</v>
      </c>
      <c r="G190" s="8"/>
    </row>
    <row r="191" spans="1:7" x14ac:dyDescent="0.25">
      <c r="A191">
        <v>165</v>
      </c>
      <c r="B191">
        <f t="shared" si="19"/>
        <v>18.417915156652342</v>
      </c>
      <c r="C191">
        <f t="shared" si="20"/>
        <v>20.735794611681595</v>
      </c>
      <c r="D191">
        <f t="shared" si="21"/>
        <v>32.07251000920602</v>
      </c>
      <c r="E191" s="7">
        <f t="shared" si="22"/>
        <v>38.49587970174273</v>
      </c>
      <c r="G191" s="8"/>
    </row>
    <row r="192" spans="1:7" x14ac:dyDescent="0.25">
      <c r="A192">
        <v>166</v>
      </c>
      <c r="B192">
        <f t="shared" si="19"/>
        <v>18.838614714208155</v>
      </c>
      <c r="C192">
        <f t="shared" si="20"/>
        <v>20.638879620807327</v>
      </c>
      <c r="D192">
        <f t="shared" si="21"/>
        <v>31.808265721106288</v>
      </c>
      <c r="E192" s="7">
        <f t="shared" si="22"/>
        <v>38.089948598997402</v>
      </c>
      <c r="G192" s="1"/>
    </row>
    <row r="193" spans="1:7" x14ac:dyDescent="0.25">
      <c r="A193">
        <v>167</v>
      </c>
      <c r="B193">
        <f t="shared" si="19"/>
        <v>19.264160679207116</v>
      </c>
      <c r="C193">
        <f t="shared" si="20"/>
        <v>20.541964629933062</v>
      </c>
      <c r="D193">
        <f t="shared" si="21"/>
        <v>31.545265517000804</v>
      </c>
      <c r="E193" s="7">
        <f t="shared" si="22"/>
        <v>37.687360605489545</v>
      </c>
      <c r="G193" s="8"/>
    </row>
    <row r="194" spans="1:7" x14ac:dyDescent="0.25">
      <c r="A194">
        <v>168</v>
      </c>
      <c r="B194">
        <f t="shared" si="19"/>
        <v>19.694528856668917</v>
      </c>
      <c r="C194">
        <f t="shared" si="20"/>
        <v>20.445049639058794</v>
      </c>
      <c r="D194">
        <f t="shared" si="21"/>
        <v>31.283509396889556</v>
      </c>
      <c r="E194" s="7">
        <f t="shared" si="22"/>
        <v>37.288100056851661</v>
      </c>
      <c r="G194" s="8"/>
    </row>
    <row r="195" spans="1:7" x14ac:dyDescent="0.25">
      <c r="A195">
        <v>169</v>
      </c>
      <c r="B195">
        <f t="shared" si="19"/>
        <v>20.129694458149729</v>
      </c>
      <c r="C195">
        <f t="shared" si="20"/>
        <v>20.348134648184526</v>
      </c>
      <c r="D195">
        <f t="shared" si="21"/>
        <v>31.02299736077255</v>
      </c>
      <c r="E195" s="7">
        <f t="shared" si="22"/>
        <v>36.892151288716278</v>
      </c>
      <c r="G195" s="1"/>
    </row>
    <row r="196" spans="1:7" x14ac:dyDescent="0.25">
      <c r="A196">
        <v>170</v>
      </c>
      <c r="B196">
        <f t="shared" si="19"/>
        <v>20.569632125633397</v>
      </c>
      <c r="C196">
        <f t="shared" si="20"/>
        <v>20.251219657310259</v>
      </c>
      <c r="D196">
        <f t="shared" si="21"/>
        <v>30.76372940864978</v>
      </c>
      <c r="E196" s="7">
        <f t="shared" si="22"/>
        <v>36.499498636715892</v>
      </c>
      <c r="G196" s="8"/>
    </row>
    <row r="197" spans="1:7" x14ac:dyDescent="0.25">
      <c r="A197">
        <v>171</v>
      </c>
      <c r="B197">
        <f t="shared" si="19"/>
        <v>21.014315955038953</v>
      </c>
      <c r="C197">
        <f t="shared" si="20"/>
        <v>20.154304666435991</v>
      </c>
      <c r="D197">
        <f t="shared" si="21"/>
        <v>30.505705540521255</v>
      </c>
      <c r="E197" s="7">
        <f t="shared" si="22"/>
        <v>36.110126436483029</v>
      </c>
      <c r="G197" s="8"/>
    </row>
    <row r="198" spans="1:7" x14ac:dyDescent="0.25">
      <c r="A198">
        <v>172</v>
      </c>
      <c r="B198">
        <f t="shared" si="19"/>
        <v>21.463719519337715</v>
      </c>
      <c r="C198">
        <f t="shared" si="20"/>
        <v>20.057389675561726</v>
      </c>
      <c r="D198">
        <f t="shared" si="21"/>
        <v>30.248925756386978</v>
      </c>
      <c r="E198" s="7">
        <f t="shared" si="22"/>
        <v>35.7240190236502</v>
      </c>
      <c r="G198" s="1"/>
    </row>
    <row r="199" spans="1:7" x14ac:dyDescent="0.25">
      <c r="A199">
        <v>173</v>
      </c>
      <c r="B199">
        <f t="shared" si="19"/>
        <v>21.917815891274294</v>
      </c>
      <c r="C199">
        <f t="shared" si="20"/>
        <v>19.960474684687462</v>
      </c>
      <c r="D199">
        <f t="shared" si="21"/>
        <v>29.993390056246938</v>
      </c>
      <c r="E199" s="7">
        <f t="shared" si="22"/>
        <v>35.341160733849918</v>
      </c>
      <c r="G199" s="8"/>
    </row>
    <row r="200" spans="1:7" x14ac:dyDescent="0.25">
      <c r="A200">
        <v>174</v>
      </c>
      <c r="B200">
        <f t="shared" si="19"/>
        <v>22.376577665686781</v>
      </c>
      <c r="C200">
        <f t="shared" si="20"/>
        <v>19.863559693813194</v>
      </c>
      <c r="D200">
        <f t="shared" si="21"/>
        <v>29.739098440101138</v>
      </c>
      <c r="E200" s="7">
        <f t="shared" si="22"/>
        <v>34.961535902714687</v>
      </c>
      <c r="G200" s="8"/>
    </row>
    <row r="201" spans="1:7" x14ac:dyDescent="0.25">
      <c r="A201">
        <v>175</v>
      </c>
      <c r="B201">
        <f t="shared" si="19"/>
        <v>22.839976981421842</v>
      </c>
      <c r="C201">
        <f t="shared" si="20"/>
        <v>19.766644702938926</v>
      </c>
      <c r="D201">
        <f t="shared" si="21"/>
        <v>29.486050907949583</v>
      </c>
      <c r="E201" s="7">
        <f t="shared" si="22"/>
        <v>34.585128865877039</v>
      </c>
      <c r="G201" s="1"/>
    </row>
    <row r="202" spans="1:7" x14ac:dyDescent="0.25">
      <c r="A202">
        <v>176</v>
      </c>
      <c r="B202">
        <f t="shared" si="19"/>
        <v>23.307985542840875</v>
      </c>
      <c r="C202">
        <f t="shared" si="20"/>
        <v>19.669729712064658</v>
      </c>
      <c r="D202">
        <f t="shared" si="21"/>
        <v>29.234247459792265</v>
      </c>
      <c r="E202" s="7">
        <f t="shared" si="22"/>
        <v>34.211923958969471</v>
      </c>
      <c r="G202" s="8"/>
    </row>
    <row r="203" spans="1:7" x14ac:dyDescent="0.25">
      <c r="A203">
        <v>177</v>
      </c>
      <c r="B203">
        <f t="shared" si="19"/>
        <v>23.780574640915333</v>
      </c>
      <c r="C203">
        <f t="shared" si="20"/>
        <v>19.57281472119039</v>
      </c>
      <c r="D203">
        <f t="shared" si="21"/>
        <v>28.983688095629184</v>
      </c>
      <c r="E203" s="7">
        <f t="shared" si="22"/>
        <v>33.841905517624497</v>
      </c>
      <c r="G203" s="8"/>
    </row>
    <row r="204" spans="1:7" x14ac:dyDescent="0.25">
      <c r="A204">
        <v>178</v>
      </c>
      <c r="B204">
        <f t="shared" si="19"/>
        <v>24.257715173907634</v>
      </c>
      <c r="C204">
        <f t="shared" si="20"/>
        <v>19.475899730316126</v>
      </c>
      <c r="D204">
        <f t="shared" si="21"/>
        <v>28.734372815460354</v>
      </c>
      <c r="E204" s="7">
        <f t="shared" si="22"/>
        <v>33.47505787747464</v>
      </c>
      <c r="G204" s="1"/>
    </row>
    <row r="205" spans="1:7" x14ac:dyDescent="0.25">
      <c r="A205">
        <v>179</v>
      </c>
      <c r="B205">
        <f t="shared" si="19"/>
        <v>24.739377667637761</v>
      </c>
      <c r="C205">
        <f t="shared" si="20"/>
        <v>19.378984739441858</v>
      </c>
      <c r="D205">
        <f t="shared" si="21"/>
        <v>28.486301619285761</v>
      </c>
      <c r="E205" s="7">
        <f t="shared" si="22"/>
        <v>33.111365374152406</v>
      </c>
      <c r="G205" s="8"/>
    </row>
    <row r="206" spans="1:7" x14ac:dyDescent="0.25">
      <c r="A206">
        <v>180</v>
      </c>
      <c r="B206">
        <f t="shared" si="19"/>
        <v>25.225532295332641</v>
      </c>
      <c r="C206">
        <f t="shared" si="20"/>
        <v>19.282069748567594</v>
      </c>
      <c r="D206">
        <f t="shared" si="21"/>
        <v>28.239474507105413</v>
      </c>
      <c r="E206" s="7">
        <f t="shared" si="22"/>
        <v>32.75081234329032</v>
      </c>
    </row>
    <row r="207" spans="1:7" x14ac:dyDescent="0.25">
      <c r="A207">
        <v>181</v>
      </c>
      <c r="B207">
        <f t="shared" si="19"/>
        <v>25.716148897059654</v>
      </c>
      <c r="C207">
        <f t="shared" si="20"/>
        <v>19.185154757693326</v>
      </c>
      <c r="D207">
        <f t="shared" si="21"/>
        <v>27.993891478919302</v>
      </c>
      <c r="E207" s="7">
        <f t="shared" si="22"/>
        <v>32.393383120520873</v>
      </c>
    </row>
    <row r="208" spans="1:7" x14ac:dyDescent="0.25">
      <c r="A208">
        <v>182</v>
      </c>
      <c r="B208">
        <f t="shared" si="19"/>
        <v>26.211196998742722</v>
      </c>
      <c r="C208">
        <f t="shared" si="20"/>
        <v>19.088239766819058</v>
      </c>
      <c r="D208">
        <f t="shared" si="21"/>
        <v>27.749552534727432</v>
      </c>
      <c r="E208" s="7">
        <f t="shared" si="22"/>
        <v>32.039062041476598</v>
      </c>
    </row>
    <row r="209" spans="1:5" x14ac:dyDescent="0.25">
      <c r="A209">
        <v>183</v>
      </c>
      <c r="B209">
        <f t="shared" si="19"/>
        <v>26.710645830762644</v>
      </c>
      <c r="C209">
        <f t="shared" si="20"/>
        <v>18.99132477594479</v>
      </c>
      <c r="D209">
        <f t="shared" si="21"/>
        <v>27.506457674529806</v>
      </c>
      <c r="E209" s="7">
        <f t="shared" si="22"/>
        <v>31.687833441789998</v>
      </c>
    </row>
    <row r="210" spans="1:5" x14ac:dyDescent="0.25">
      <c r="A210">
        <v>184</v>
      </c>
      <c r="B210">
        <f t="shared" si="19"/>
        <v>27.214464346141781</v>
      </c>
      <c r="C210">
        <f t="shared" si="20"/>
        <v>18.894409785070525</v>
      </c>
      <c r="D210">
        <f t="shared" si="21"/>
        <v>27.26460689832642</v>
      </c>
      <c r="E210" s="7">
        <f t="shared" si="22"/>
        <v>31.339681657093593</v>
      </c>
    </row>
    <row r="211" spans="1:5" x14ac:dyDescent="0.25">
      <c r="A211">
        <v>185</v>
      </c>
      <c r="B211">
        <f t="shared" si="19"/>
        <v>27.722621238314844</v>
      </c>
      <c r="C211">
        <f t="shared" si="20"/>
        <v>18.797494794196258</v>
      </c>
      <c r="D211">
        <f t="shared" si="21"/>
        <v>27.024000206117275</v>
      </c>
      <c r="E211" s="7">
        <f t="shared" si="22"/>
        <v>30.99459102301989</v>
      </c>
    </row>
    <row r="212" spans="1:5" x14ac:dyDescent="0.25">
      <c r="A212">
        <v>186</v>
      </c>
      <c r="B212">
        <f t="shared" si="19"/>
        <v>28.235084958487676</v>
      </c>
      <c r="C212">
        <f t="shared" si="20"/>
        <v>18.700579803321993</v>
      </c>
      <c r="D212">
        <f t="shared" si="21"/>
        <v>26.784637597902375</v>
      </c>
      <c r="E212" s="7">
        <f t="shared" si="22"/>
        <v>30.652545875201408</v>
      </c>
    </row>
    <row r="213" spans="1:5" x14ac:dyDescent="0.25">
      <c r="A213">
        <v>187</v>
      </c>
      <c r="B213">
        <f t="shared" si="19"/>
        <v>28.751823732585649</v>
      </c>
      <c r="C213">
        <f t="shared" si="20"/>
        <v>18.603664812447725</v>
      </c>
      <c r="D213">
        <f t="shared" si="21"/>
        <v>26.546519073681711</v>
      </c>
      <c r="E213" s="7">
        <f t="shared" si="22"/>
        <v>30.313530549270652</v>
      </c>
    </row>
    <row r="214" spans="1:5" x14ac:dyDescent="0.25">
      <c r="A214">
        <v>188</v>
      </c>
      <c r="B214">
        <f t="shared" si="19"/>
        <v>29.272805577794585</v>
      </c>
      <c r="C214">
        <f t="shared" si="20"/>
        <v>18.506749821573457</v>
      </c>
      <c r="D214">
        <f t="shared" si="21"/>
        <v>26.309644633455292</v>
      </c>
      <c r="E214" s="7">
        <f t="shared" si="22"/>
        <v>29.977529380860148</v>
      </c>
    </row>
    <row r="215" spans="1:5" x14ac:dyDescent="0.25">
      <c r="A215">
        <v>189</v>
      </c>
      <c r="B215">
        <f t="shared" si="19"/>
        <v>29.797998318696841</v>
      </c>
      <c r="C215">
        <f t="shared" si="20"/>
        <v>18.409834830699189</v>
      </c>
      <c r="D215">
        <f t="shared" si="21"/>
        <v>26.07401427722311</v>
      </c>
      <c r="E215" s="7">
        <f t="shared" si="22"/>
        <v>29.644526705602392</v>
      </c>
    </row>
    <row r="216" spans="1:5" x14ac:dyDescent="0.25">
      <c r="A216">
        <v>190</v>
      </c>
      <c r="B216">
        <f t="shared" si="19"/>
        <v>30.327369603005522</v>
      </c>
      <c r="C216">
        <f t="shared" si="20"/>
        <v>18.312919839824925</v>
      </c>
      <c r="D216">
        <f t="shared" si="21"/>
        <v>25.839628004985176</v>
      </c>
      <c r="E216" s="7">
        <f t="shared" si="22"/>
        <v>29.314506859129914</v>
      </c>
    </row>
    <row r="217" spans="1:5" x14ac:dyDescent="0.25">
      <c r="A217">
        <v>191</v>
      </c>
      <c r="B217">
        <f t="shared" si="19"/>
        <v>30.86088691690064</v>
      </c>
      <c r="C217">
        <f t="shared" si="20"/>
        <v>18.216004848950657</v>
      </c>
      <c r="D217">
        <f t="shared" si="21"/>
        <v>25.606485816741479</v>
      </c>
      <c r="E217" s="7">
        <f t="shared" si="22"/>
        <v>28.987454177075218</v>
      </c>
    </row>
    <row r="218" spans="1:5" x14ac:dyDescent="0.25">
      <c r="A218">
        <v>192</v>
      </c>
      <c r="B218">
        <f t="shared" si="19"/>
        <v>31.398517599970063</v>
      </c>
      <c r="C218">
        <f t="shared" si="20"/>
        <v>18.119089858076393</v>
      </c>
      <c r="D218">
        <f t="shared" si="21"/>
        <v>25.374587712492026</v>
      </c>
      <c r="E218" s="7">
        <f t="shared" si="22"/>
        <v>28.663352995070824</v>
      </c>
    </row>
    <row r="219" spans="1:5" x14ac:dyDescent="0.25">
      <c r="A219">
        <v>193</v>
      </c>
      <c r="B219">
        <f t="shared" si="19"/>
        <v>31.940228859760083</v>
      </c>
      <c r="C219">
        <f t="shared" si="20"/>
        <v>18.022174867202125</v>
      </c>
      <c r="D219">
        <f t="shared" si="21"/>
        <v>25.143933692236811</v>
      </c>
      <c r="E219" s="7">
        <f t="shared" si="22"/>
        <v>28.342187648749231</v>
      </c>
    </row>
    <row r="220" spans="1:5" x14ac:dyDescent="0.25">
      <c r="A220">
        <v>194</v>
      </c>
      <c r="B220">
        <f t="shared" ref="B220:B283" si="23">black_scholes_price($A220,$B$2,$B$3,$B$4,$B$5,$B$6,A$26)</f>
        <v>32.48598778593886</v>
      </c>
      <c r="C220">
        <f t="shared" ref="C220:C283" si="24">$C$10+$C$13*(A220-$B$1)</f>
        <v>17.925259876327857</v>
      </c>
      <c r="D220">
        <f t="shared" ref="D220:D283" si="25">C220+0.5*$C$14*(A220-$B$1)^2</f>
        <v>24.914523755975839</v>
      </c>
      <c r="E220" s="7">
        <f t="shared" ref="E220:E283" si="26">D220+$C$19*(A220-$B$1)^3/6</f>
        <v>28.02394247374297</v>
      </c>
    </row>
    <row r="221" spans="1:5" x14ac:dyDescent="0.25">
      <c r="A221">
        <v>195</v>
      </c>
      <c r="B221">
        <f t="shared" si="23"/>
        <v>33.035761364077672</v>
      </c>
      <c r="C221">
        <f t="shared" si="24"/>
        <v>17.828344885453589</v>
      </c>
      <c r="D221">
        <f t="shared" si="25"/>
        <v>24.686357903709109</v>
      </c>
      <c r="E221" s="7">
        <f t="shared" si="26"/>
        <v>27.708601805684545</v>
      </c>
    </row>
    <row r="222" spans="1:5" x14ac:dyDescent="0.25">
      <c r="A222">
        <v>196</v>
      </c>
      <c r="B222">
        <f t="shared" si="23"/>
        <v>33.589516489054077</v>
      </c>
      <c r="C222">
        <f t="shared" si="24"/>
        <v>17.731429894579321</v>
      </c>
      <c r="D222">
        <f t="shared" si="25"/>
        <v>24.459436135436615</v>
      </c>
      <c r="E222" s="7">
        <f t="shared" si="26"/>
        <v>27.396149980206463</v>
      </c>
    </row>
    <row r="223" spans="1:5" x14ac:dyDescent="0.25">
      <c r="A223">
        <v>197</v>
      </c>
      <c r="B223">
        <f t="shared" si="23"/>
        <v>34.147219978081779</v>
      </c>
      <c r="C223">
        <f t="shared" si="24"/>
        <v>17.634514903705057</v>
      </c>
      <c r="D223">
        <f t="shared" si="25"/>
        <v>24.233758451158373</v>
      </c>
      <c r="E223" s="7">
        <f t="shared" si="26"/>
        <v>27.086571332941258</v>
      </c>
    </row>
    <row r="224" spans="1:5" x14ac:dyDescent="0.25">
      <c r="A224">
        <v>198</v>
      </c>
      <c r="B224">
        <f t="shared" si="23"/>
        <v>34.708838583372042</v>
      </c>
      <c r="C224">
        <f t="shared" si="24"/>
        <v>17.537599912830792</v>
      </c>
      <c r="D224">
        <f t="shared" si="25"/>
        <v>24.009324850874368</v>
      </c>
      <c r="E224" s="7">
        <f t="shared" si="26"/>
        <v>26.779850199521423</v>
      </c>
    </row>
    <row r="225" spans="1:5" x14ac:dyDescent="0.25">
      <c r="A225">
        <v>199</v>
      </c>
      <c r="B225">
        <f t="shared" si="23"/>
        <v>35.274339004431596</v>
      </c>
      <c r="C225">
        <f t="shared" si="24"/>
        <v>17.440684921956525</v>
      </c>
      <c r="D225">
        <f t="shared" si="25"/>
        <v>23.7861353345846</v>
      </c>
      <c r="E225" s="7">
        <f t="shared" si="26"/>
        <v>26.475970915579474</v>
      </c>
    </row>
    <row r="226" spans="1:5" x14ac:dyDescent="0.25">
      <c r="A226">
        <v>200</v>
      </c>
      <c r="B226">
        <f t="shared" si="23"/>
        <v>35.843687900002166</v>
      </c>
      <c r="C226">
        <f t="shared" si="24"/>
        <v>17.343769931082257</v>
      </c>
      <c r="D226">
        <f t="shared" si="25"/>
        <v>23.564189902289076</v>
      </c>
      <c r="E226" s="7">
        <f t="shared" si="26"/>
        <v>26.174917816747932</v>
      </c>
    </row>
    <row r="227" spans="1:5" x14ac:dyDescent="0.25">
      <c r="A227">
        <v>201</v>
      </c>
      <c r="B227">
        <f t="shared" si="23"/>
        <v>36.416851899646772</v>
      </c>
      <c r="C227">
        <f t="shared" si="24"/>
        <v>17.246854940207989</v>
      </c>
      <c r="D227">
        <f t="shared" si="25"/>
        <v>23.34348855398779</v>
      </c>
      <c r="E227" s="7">
        <f t="shared" si="26"/>
        <v>25.876675238659303</v>
      </c>
    </row>
    <row r="228" spans="1:5" x14ac:dyDescent="0.25">
      <c r="A228">
        <v>202</v>
      </c>
      <c r="B228">
        <f t="shared" si="23"/>
        <v>36.993797614987898</v>
      </c>
      <c r="C228">
        <f t="shared" si="24"/>
        <v>17.149939949333721</v>
      </c>
      <c r="D228">
        <f t="shared" si="25"/>
        <v>23.124031289680751</v>
      </c>
      <c r="E228" s="7">
        <f t="shared" si="26"/>
        <v>25.581227516946111</v>
      </c>
    </row>
    <row r="229" spans="1:5" x14ac:dyDescent="0.25">
      <c r="A229">
        <v>203</v>
      </c>
      <c r="B229">
        <f t="shared" si="23"/>
        <v>37.574491650603633</v>
      </c>
      <c r="C229">
        <f t="shared" si="24"/>
        <v>17.053024958459456</v>
      </c>
      <c r="D229">
        <f t="shared" si="25"/>
        <v>22.905818109367953</v>
      </c>
      <c r="E229" s="7">
        <f t="shared" si="26"/>
        <v>25.288558987240862</v>
      </c>
    </row>
    <row r="230" spans="1:5" x14ac:dyDescent="0.25">
      <c r="A230">
        <v>204</v>
      </c>
      <c r="B230">
        <f t="shared" si="23"/>
        <v>38.15890061458623</v>
      </c>
      <c r="C230">
        <f t="shared" si="24"/>
        <v>16.956109967585189</v>
      </c>
      <c r="D230">
        <f t="shared" si="25"/>
        <v>22.688849013049392</v>
      </c>
      <c r="E230" s="7">
        <f t="shared" si="26"/>
        <v>24.998653985176063</v>
      </c>
    </row>
    <row r="231" spans="1:5" x14ac:dyDescent="0.25">
      <c r="A231">
        <v>205</v>
      </c>
      <c r="B231">
        <f t="shared" si="23"/>
        <v>38.746991128769636</v>
      </c>
      <c r="C231">
        <f t="shared" si="24"/>
        <v>16.859194976710924</v>
      </c>
      <c r="D231">
        <f t="shared" si="25"/>
        <v>22.473124000725079</v>
      </c>
      <c r="E231" s="7">
        <f t="shared" si="26"/>
        <v>24.711496846384243</v>
      </c>
    </row>
    <row r="232" spans="1:5" x14ac:dyDescent="0.25">
      <c r="A232">
        <v>206</v>
      </c>
      <c r="B232">
        <f t="shared" si="23"/>
        <v>39.338729838630783</v>
      </c>
      <c r="C232">
        <f t="shared" si="24"/>
        <v>16.762279985836656</v>
      </c>
      <c r="D232">
        <f t="shared" si="25"/>
        <v>22.258643072395003</v>
      </c>
      <c r="E232" s="7">
        <f t="shared" si="26"/>
        <v>24.427071906497897</v>
      </c>
    </row>
    <row r="233" spans="1:5" x14ac:dyDescent="0.25">
      <c r="A233">
        <v>207</v>
      </c>
      <c r="B233">
        <f t="shared" si="23"/>
        <v>39.934083422870756</v>
      </c>
      <c r="C233">
        <f t="shared" si="24"/>
        <v>16.665364994962388</v>
      </c>
      <c r="D233">
        <f t="shared" si="25"/>
        <v>22.045406228059164</v>
      </c>
      <c r="E233" s="7">
        <f t="shared" si="26"/>
        <v>24.145363501149546</v>
      </c>
    </row>
    <row r="234" spans="1:5" x14ac:dyDescent="0.25">
      <c r="A234">
        <v>208</v>
      </c>
      <c r="B234">
        <f t="shared" si="23"/>
        <v>40.533018602681537</v>
      </c>
      <c r="C234">
        <f t="shared" si="24"/>
        <v>16.56845000408812</v>
      </c>
      <c r="D234">
        <f t="shared" si="25"/>
        <v>21.83341346771757</v>
      </c>
      <c r="E234" s="7">
        <f t="shared" si="26"/>
        <v>23.866355965971707</v>
      </c>
    </row>
    <row r="235" spans="1:5" x14ac:dyDescent="0.25">
      <c r="A235">
        <v>209</v>
      </c>
      <c r="B235">
        <f t="shared" si="23"/>
        <v>41.135502150703616</v>
      </c>
      <c r="C235">
        <f t="shared" si="24"/>
        <v>16.471535013213856</v>
      </c>
      <c r="D235">
        <f t="shared" si="25"/>
        <v>21.622664791370223</v>
      </c>
      <c r="E235" s="7">
        <f t="shared" si="26"/>
        <v>23.5900336365969</v>
      </c>
    </row>
    <row r="236" spans="1:5" x14ac:dyDescent="0.25">
      <c r="A236">
        <v>210</v>
      </c>
      <c r="B236">
        <f t="shared" si="23"/>
        <v>41.74150089968083</v>
      </c>
      <c r="C236">
        <f t="shared" si="24"/>
        <v>16.374620022339588</v>
      </c>
      <c r="D236">
        <f t="shared" si="25"/>
        <v>21.41316019901711</v>
      </c>
      <c r="E236" s="7">
        <f t="shared" si="26"/>
        <v>23.316380848657616</v>
      </c>
    </row>
    <row r="237" spans="1:5" x14ac:dyDescent="0.25">
      <c r="A237">
        <v>211</v>
      </c>
      <c r="B237">
        <f t="shared" si="23"/>
        <v>42.350981750817354</v>
      </c>
      <c r="C237">
        <f t="shared" si="24"/>
        <v>16.277705031465324</v>
      </c>
      <c r="D237">
        <f t="shared" si="25"/>
        <v>21.204899690658245</v>
      </c>
      <c r="E237" s="7">
        <f t="shared" si="26"/>
        <v>23.045381937786392</v>
      </c>
    </row>
    <row r="238" spans="1:5" x14ac:dyDescent="0.25">
      <c r="A238">
        <v>212</v>
      </c>
      <c r="B238">
        <f t="shared" si="23"/>
        <v>42.96391168184357</v>
      </c>
      <c r="C238">
        <f t="shared" si="24"/>
        <v>16.180790040591056</v>
      </c>
      <c r="D238">
        <f t="shared" si="25"/>
        <v>20.997883266293616</v>
      </c>
      <c r="E238" s="7">
        <f t="shared" si="26"/>
        <v>22.777021239615724</v>
      </c>
    </row>
    <row r="239" spans="1:5" x14ac:dyDescent="0.25">
      <c r="A239">
        <v>213</v>
      </c>
      <c r="B239">
        <f t="shared" si="23"/>
        <v>43.580257754795795</v>
      </c>
      <c r="C239">
        <f t="shared" si="24"/>
        <v>16.083875049716788</v>
      </c>
      <c r="D239">
        <f t="shared" si="25"/>
        <v>20.792110925923229</v>
      </c>
      <c r="E239" s="7">
        <f t="shared" si="26"/>
        <v>22.511283089778129</v>
      </c>
    </row>
    <row r="240" spans="1:5" x14ac:dyDescent="0.25">
      <c r="A240">
        <v>214</v>
      </c>
      <c r="B240">
        <f t="shared" si="23"/>
        <v>44.199987123515996</v>
      </c>
      <c r="C240">
        <f t="shared" si="24"/>
        <v>15.986960058842522</v>
      </c>
      <c r="D240">
        <f t="shared" si="25"/>
        <v>20.587582669547086</v>
      </c>
      <c r="E240" s="7">
        <f t="shared" si="26"/>
        <v>22.248151823906127</v>
      </c>
    </row>
    <row r="241" spans="1:5" x14ac:dyDescent="0.25">
      <c r="A241">
        <v>215</v>
      </c>
      <c r="B241">
        <f t="shared" si="23"/>
        <v>44.823067040876936</v>
      </c>
      <c r="C241">
        <f t="shared" si="24"/>
        <v>15.890045067968256</v>
      </c>
      <c r="D241">
        <f t="shared" si="25"/>
        <v>20.384298497165183</v>
      </c>
      <c r="E241" s="7">
        <f t="shared" si="26"/>
        <v>21.987611777632228</v>
      </c>
    </row>
    <row r="242" spans="1:5" x14ac:dyDescent="0.25">
      <c r="A242">
        <v>216</v>
      </c>
      <c r="B242">
        <f t="shared" si="23"/>
        <v>45.449464865738861</v>
      </c>
      <c r="C242">
        <f t="shared" si="24"/>
        <v>15.793130077093988</v>
      </c>
      <c r="D242">
        <f t="shared" si="25"/>
        <v>20.182258408777518</v>
      </c>
      <c r="E242" s="7">
        <f t="shared" si="26"/>
        <v>21.729647286588939</v>
      </c>
    </row>
    <row r="243" spans="1:5" x14ac:dyDescent="0.25">
      <c r="A243">
        <v>217</v>
      </c>
      <c r="B243">
        <f t="shared" si="23"/>
        <v>46.079148069643153</v>
      </c>
      <c r="C243">
        <f t="shared" si="24"/>
        <v>15.696215086219722</v>
      </c>
      <c r="D243">
        <f t="shared" si="25"/>
        <v>19.9814624043841</v>
      </c>
      <c r="E243" s="7">
        <f t="shared" si="26"/>
        <v>21.474242686408786</v>
      </c>
    </row>
    <row r="244" spans="1:5" x14ac:dyDescent="0.25">
      <c r="A244">
        <v>218</v>
      </c>
      <c r="B244">
        <f t="shared" si="23"/>
        <v>46.712084243248526</v>
      </c>
      <c r="C244">
        <f t="shared" si="24"/>
        <v>15.599300095345455</v>
      </c>
      <c r="D244">
        <f t="shared" si="25"/>
        <v>19.78191048398492</v>
      </c>
      <c r="E244" s="7">
        <f t="shared" si="26"/>
        <v>21.22138231272427</v>
      </c>
    </row>
    <row r="245" spans="1:5" x14ac:dyDescent="0.25">
      <c r="A245">
        <v>219</v>
      </c>
      <c r="B245">
        <f t="shared" si="23"/>
        <v>47.348241102515615</v>
      </c>
      <c r="C245">
        <f t="shared" si="24"/>
        <v>15.502385104471188</v>
      </c>
      <c r="D245">
        <f t="shared" si="25"/>
        <v>19.58360264757998</v>
      </c>
      <c r="E245" s="7">
        <f t="shared" si="26"/>
        <v>20.971050501167909</v>
      </c>
    </row>
    <row r="246" spans="1:5" x14ac:dyDescent="0.25">
      <c r="A246">
        <v>220</v>
      </c>
      <c r="B246">
        <f t="shared" si="23"/>
        <v>47.987586494645342</v>
      </c>
      <c r="C246">
        <f t="shared" si="24"/>
        <v>15.405470113596921</v>
      </c>
      <c r="D246">
        <f t="shared" si="25"/>
        <v>19.386538895169284</v>
      </c>
      <c r="E246" s="7">
        <f t="shared" si="26"/>
        <v>20.723231587372219</v>
      </c>
    </row>
    <row r="247" spans="1:5" x14ac:dyDescent="0.25">
      <c r="A247">
        <v>221</v>
      </c>
      <c r="B247">
        <f t="shared" si="23"/>
        <v>48.630088403776938</v>
      </c>
      <c r="C247">
        <f t="shared" si="24"/>
        <v>15.308555122722655</v>
      </c>
      <c r="D247">
        <f t="shared" si="25"/>
        <v>19.190719226752829</v>
      </c>
      <c r="E247" s="7">
        <f t="shared" si="26"/>
        <v>20.47790990696971</v>
      </c>
    </row>
    <row r="248" spans="1:5" x14ac:dyDescent="0.25">
      <c r="A248">
        <v>222</v>
      </c>
      <c r="B248">
        <f t="shared" si="23"/>
        <v>49.275714956450543</v>
      </c>
      <c r="C248">
        <f t="shared" si="24"/>
        <v>15.211640131848387</v>
      </c>
      <c r="D248">
        <f t="shared" si="25"/>
        <v>18.996143642330615</v>
      </c>
      <c r="E248" s="7">
        <f t="shared" si="26"/>
        <v>20.235069795592896</v>
      </c>
    </row>
    <row r="249" spans="1:5" x14ac:dyDescent="0.25">
      <c r="A249">
        <v>223</v>
      </c>
      <c r="B249">
        <f t="shared" si="23"/>
        <v>49.924434426840435</v>
      </c>
      <c r="C249">
        <f t="shared" si="24"/>
        <v>15.114725140974119</v>
      </c>
      <c r="D249">
        <f t="shared" si="25"/>
        <v>18.802812141902642</v>
      </c>
      <c r="E249" s="7">
        <f t="shared" si="26"/>
        <v>19.994695588874286</v>
      </c>
    </row>
    <row r="250" spans="1:5" x14ac:dyDescent="0.25">
      <c r="A250">
        <v>224</v>
      </c>
      <c r="B250">
        <f t="shared" si="23"/>
        <v>50.576215241763691</v>
      </c>
      <c r="C250">
        <f t="shared" si="24"/>
        <v>15.017810150099855</v>
      </c>
      <c r="D250">
        <f t="shared" si="25"/>
        <v>18.610724725468913</v>
      </c>
      <c r="E250" s="7">
        <f t="shared" si="26"/>
        <v>19.756771622446404</v>
      </c>
    </row>
    <row r="251" spans="1:5" x14ac:dyDescent="0.25">
      <c r="A251">
        <v>225</v>
      </c>
      <c r="B251">
        <f t="shared" si="23"/>
        <v>51.231025985470453</v>
      </c>
      <c r="C251">
        <f t="shared" si="24"/>
        <v>14.920895159225587</v>
      </c>
      <c r="D251">
        <f t="shared" si="25"/>
        <v>18.419881393029421</v>
      </c>
      <c r="E251" s="7">
        <f t="shared" si="26"/>
        <v>19.52128223194175</v>
      </c>
    </row>
    <row r="252" spans="1:5" x14ac:dyDescent="0.25">
      <c r="A252">
        <v>226</v>
      </c>
      <c r="B252">
        <f t="shared" si="23"/>
        <v>51.888835404220046</v>
      </c>
      <c r="C252">
        <f t="shared" si="24"/>
        <v>14.823980168351319</v>
      </c>
      <c r="D252">
        <f t="shared" si="25"/>
        <v>18.230282144584173</v>
      </c>
      <c r="E252" s="7">
        <f t="shared" si="26"/>
        <v>19.288211752992851</v>
      </c>
    </row>
    <row r="253" spans="1:5" x14ac:dyDescent="0.25">
      <c r="A253">
        <v>227</v>
      </c>
      <c r="B253">
        <f t="shared" si="23"/>
        <v>52.549612410648933</v>
      </c>
      <c r="C253">
        <f t="shared" si="24"/>
        <v>14.727065177477053</v>
      </c>
      <c r="D253">
        <f t="shared" si="25"/>
        <v>18.041926980133166</v>
      </c>
      <c r="E253" s="7">
        <f t="shared" si="26"/>
        <v>19.057544521232206</v>
      </c>
    </row>
    <row r="254" spans="1:5" x14ac:dyDescent="0.25">
      <c r="A254">
        <v>228</v>
      </c>
      <c r="B254">
        <f t="shared" si="23"/>
        <v>53.213326087935272</v>
      </c>
      <c r="C254">
        <f t="shared" si="24"/>
        <v>14.630150186602787</v>
      </c>
      <c r="D254">
        <f t="shared" si="25"/>
        <v>17.854815899676403</v>
      </c>
      <c r="E254" s="7">
        <f t="shared" si="26"/>
        <v>18.829264872292342</v>
      </c>
    </row>
    <row r="255" spans="1:5" x14ac:dyDescent="0.25">
      <c r="A255">
        <v>229</v>
      </c>
      <c r="B255">
        <f t="shared" si="23"/>
        <v>53.879945693765464</v>
      </c>
      <c r="C255">
        <f t="shared" si="24"/>
        <v>14.533235195728519</v>
      </c>
      <c r="D255">
        <f t="shared" si="25"/>
        <v>17.668948903213877</v>
      </c>
      <c r="E255" s="7">
        <f t="shared" si="26"/>
        <v>18.603357141805763</v>
      </c>
    </row>
    <row r="256" spans="1:5" x14ac:dyDescent="0.25">
      <c r="A256">
        <v>230</v>
      </c>
      <c r="B256">
        <f t="shared" si="23"/>
        <v>54.549440664107451</v>
      </c>
      <c r="C256">
        <f t="shared" si="24"/>
        <v>14.436320204854253</v>
      </c>
      <c r="D256">
        <f t="shared" si="25"/>
        <v>17.484325990745596</v>
      </c>
      <c r="E256" s="7">
        <f t="shared" si="26"/>
        <v>18.379805665404984</v>
      </c>
    </row>
    <row r="257" spans="1:5" x14ac:dyDescent="0.25">
      <c r="A257">
        <v>231</v>
      </c>
      <c r="B257">
        <f t="shared" si="23"/>
        <v>55.221780616795868</v>
      </c>
      <c r="C257">
        <f t="shared" si="24"/>
        <v>14.339405213979987</v>
      </c>
      <c r="D257">
        <f t="shared" si="25"/>
        <v>17.300947162271552</v>
      </c>
      <c r="E257" s="7">
        <f t="shared" si="26"/>
        <v>18.158594778722517</v>
      </c>
    </row>
    <row r="258" spans="1:5" x14ac:dyDescent="0.25">
      <c r="A258">
        <v>232</v>
      </c>
      <c r="B258">
        <f t="shared" si="23"/>
        <v>55.896935354933603</v>
      </c>
      <c r="C258">
        <f t="shared" si="24"/>
        <v>14.242490223105719</v>
      </c>
      <c r="D258">
        <f t="shared" si="25"/>
        <v>17.118812417791752</v>
      </c>
      <c r="E258" s="7">
        <f t="shared" si="26"/>
        <v>17.93970881739088</v>
      </c>
    </row>
    <row r="259" spans="1:5" x14ac:dyDescent="0.25">
      <c r="A259">
        <v>233</v>
      </c>
      <c r="B259">
        <f t="shared" si="23"/>
        <v>56.574874870115408</v>
      </c>
      <c r="C259">
        <f t="shared" si="24"/>
        <v>14.145575232231453</v>
      </c>
      <c r="D259">
        <f t="shared" si="25"/>
        <v>16.937921757306192</v>
      </c>
      <c r="E259" s="7">
        <f t="shared" si="26"/>
        <v>17.723132117042582</v>
      </c>
    </row>
    <row r="260" spans="1:5" x14ac:dyDescent="0.25">
      <c r="A260">
        <v>234</v>
      </c>
      <c r="B260">
        <f t="shared" si="23"/>
        <v>57.255569345477113</v>
      </c>
      <c r="C260">
        <f t="shared" si="24"/>
        <v>14.048660241357187</v>
      </c>
      <c r="D260">
        <f t="shared" si="25"/>
        <v>16.758275180814877</v>
      </c>
      <c r="E260" s="7">
        <f t="shared" si="26"/>
        <v>17.50884901331014</v>
      </c>
    </row>
    <row r="261" spans="1:5" x14ac:dyDescent="0.25">
      <c r="A261">
        <v>235</v>
      </c>
      <c r="B261">
        <f t="shared" si="23"/>
        <v>57.938989158576234</v>
      </c>
      <c r="C261">
        <f t="shared" si="24"/>
        <v>13.951745250482919</v>
      </c>
      <c r="D261">
        <f t="shared" si="25"/>
        <v>16.579872688317799</v>
      </c>
      <c r="E261" s="7">
        <f t="shared" si="26"/>
        <v>17.296843841826064</v>
      </c>
    </row>
    <row r="262" spans="1:5" x14ac:dyDescent="0.25">
      <c r="A262">
        <v>236</v>
      </c>
      <c r="B262">
        <f t="shared" si="23"/>
        <v>58.625104884107756</v>
      </c>
      <c r="C262">
        <f t="shared" si="24"/>
        <v>13.854830259608653</v>
      </c>
      <c r="D262">
        <f t="shared" si="25"/>
        <v>16.402714279814965</v>
      </c>
      <c r="E262" s="7">
        <f t="shared" si="26"/>
        <v>17.087100938222868</v>
      </c>
    </row>
    <row r="263" spans="1:5" x14ac:dyDescent="0.25">
      <c r="A263">
        <v>237</v>
      </c>
      <c r="B263">
        <f t="shared" si="23"/>
        <v>59.313887296460123</v>
      </c>
      <c r="C263">
        <f t="shared" si="24"/>
        <v>13.757915268734386</v>
      </c>
      <c r="D263">
        <f t="shared" si="25"/>
        <v>16.226799955306372</v>
      </c>
      <c r="E263" s="7">
        <f t="shared" si="26"/>
        <v>16.879604638133067</v>
      </c>
    </row>
    <row r="264" spans="1:5" x14ac:dyDescent="0.25">
      <c r="A264">
        <v>238</v>
      </c>
      <c r="B264">
        <f t="shared" si="23"/>
        <v>60.005307372115368</v>
      </c>
      <c r="C264">
        <f t="shared" si="24"/>
        <v>13.661000277860119</v>
      </c>
      <c r="D264">
        <f t="shared" si="25"/>
        <v>16.05212971479202</v>
      </c>
      <c r="E264" s="7">
        <f t="shared" si="26"/>
        <v>16.674339277189169</v>
      </c>
    </row>
    <row r="265" spans="1:5" x14ac:dyDescent="0.25">
      <c r="A265">
        <v>239</v>
      </c>
      <c r="B265">
        <f t="shared" si="23"/>
        <v>60.69933629189849</v>
      </c>
      <c r="C265">
        <f t="shared" si="24"/>
        <v>13.564085286985852</v>
      </c>
      <c r="D265">
        <f t="shared" si="25"/>
        <v>15.878703558271908</v>
      </c>
      <c r="E265" s="7">
        <f t="shared" si="26"/>
        <v>16.471289191023693</v>
      </c>
    </row>
    <row r="266" spans="1:5" x14ac:dyDescent="0.25">
      <c r="A266">
        <v>240</v>
      </c>
      <c r="B266">
        <f t="shared" si="23"/>
        <v>61.39594544307954</v>
      </c>
      <c r="C266">
        <f t="shared" si="24"/>
        <v>13.467170296111586</v>
      </c>
      <c r="D266">
        <f t="shared" si="25"/>
        <v>15.706521485746041</v>
      </c>
      <c r="E266" s="7">
        <f t="shared" si="26"/>
        <v>16.270438715269155</v>
      </c>
    </row>
    <row r="267" spans="1:5" x14ac:dyDescent="0.25">
      <c r="A267">
        <v>241</v>
      </c>
      <c r="B267">
        <f t="shared" si="23"/>
        <v>62.095106421333313</v>
      </c>
      <c r="C267">
        <f t="shared" si="24"/>
        <v>13.370255305237318</v>
      </c>
      <c r="D267">
        <f t="shared" si="25"/>
        <v>15.535583497214411</v>
      </c>
      <c r="E267" s="7">
        <f t="shared" si="26"/>
        <v>16.071772185558057</v>
      </c>
    </row>
    <row r="268" spans="1:5" x14ac:dyDescent="0.25">
      <c r="A268">
        <v>242</v>
      </c>
      <c r="B268">
        <f t="shared" si="23"/>
        <v>62.796791032559966</v>
      </c>
      <c r="C268">
        <f t="shared" si="24"/>
        <v>13.273340314363052</v>
      </c>
      <c r="D268">
        <f t="shared" si="25"/>
        <v>15.365889592677025</v>
      </c>
      <c r="E268" s="7">
        <f t="shared" si="26"/>
        <v>15.875273937522921</v>
      </c>
    </row>
    <row r="269" spans="1:5" x14ac:dyDescent="0.25">
      <c r="A269">
        <v>243</v>
      </c>
      <c r="B269">
        <f t="shared" si="23"/>
        <v>63.500971294571883</v>
      </c>
      <c r="C269">
        <f t="shared" si="24"/>
        <v>13.176425323488786</v>
      </c>
      <c r="D269">
        <f t="shared" si="25"/>
        <v>15.197439772133881</v>
      </c>
      <c r="E269" s="7">
        <f t="shared" si="26"/>
        <v>15.680928306796261</v>
      </c>
    </row>
    <row r="270" spans="1:5" x14ac:dyDescent="0.25">
      <c r="A270">
        <v>244</v>
      </c>
      <c r="B270">
        <f t="shared" si="23"/>
        <v>64.207619438649459</v>
      </c>
      <c r="C270">
        <f t="shared" si="24"/>
        <v>13.079510332614518</v>
      </c>
      <c r="D270">
        <f t="shared" si="25"/>
        <v>15.030234035584977</v>
      </c>
      <c r="E270" s="7">
        <f t="shared" si="26"/>
        <v>15.488719629010584</v>
      </c>
    </row>
    <row r="271" spans="1:5" x14ac:dyDescent="0.25">
      <c r="A271">
        <v>245</v>
      </c>
      <c r="B271">
        <f t="shared" si="23"/>
        <v>64.91670791097026</v>
      </c>
      <c r="C271">
        <f t="shared" si="24"/>
        <v>12.982595341740252</v>
      </c>
      <c r="D271">
        <f t="shared" si="25"/>
        <v>14.864272383030315</v>
      </c>
      <c r="E271" s="7">
        <f t="shared" si="26"/>
        <v>15.298632239798406</v>
      </c>
    </row>
    <row r="272" spans="1:5" x14ac:dyDescent="0.25">
      <c r="A272">
        <v>246</v>
      </c>
      <c r="B272">
        <f t="shared" si="23"/>
        <v>65.628209373915652</v>
      </c>
      <c r="C272">
        <f t="shared" si="24"/>
        <v>12.885680350865986</v>
      </c>
      <c r="D272">
        <f t="shared" si="25"/>
        <v>14.699554814469895</v>
      </c>
      <c r="E272" s="7">
        <f t="shared" si="26"/>
        <v>15.110650474792244</v>
      </c>
    </row>
    <row r="273" spans="1:5" x14ac:dyDescent="0.25">
      <c r="A273">
        <v>247</v>
      </c>
      <c r="B273">
        <f t="shared" si="23"/>
        <v>66.342096707258349</v>
      </c>
      <c r="C273">
        <f t="shared" si="24"/>
        <v>12.788765359991718</v>
      </c>
      <c r="D273">
        <f t="shared" si="25"/>
        <v>14.536081329903713</v>
      </c>
      <c r="E273" s="7">
        <f t="shared" si="26"/>
        <v>14.924758669624604</v>
      </c>
    </row>
    <row r="274" spans="1:5" x14ac:dyDescent="0.25">
      <c r="A274">
        <v>248</v>
      </c>
      <c r="B274">
        <f t="shared" si="23"/>
        <v>67.058343009234306</v>
      </c>
      <c r="C274">
        <f t="shared" si="24"/>
        <v>12.69185036911745</v>
      </c>
      <c r="D274">
        <f t="shared" si="25"/>
        <v>14.373851929331774</v>
      </c>
      <c r="E274" s="7">
        <f t="shared" si="26"/>
        <v>14.740941159928006</v>
      </c>
    </row>
    <row r="275" spans="1:5" x14ac:dyDescent="0.25">
      <c r="A275">
        <v>249</v>
      </c>
      <c r="B275">
        <f t="shared" si="23"/>
        <v>67.776921597503176</v>
      </c>
      <c r="C275">
        <f t="shared" si="24"/>
        <v>12.594935378243186</v>
      </c>
      <c r="D275">
        <f t="shared" si="25"/>
        <v>14.212866612754079</v>
      </c>
      <c r="E275" s="7">
        <f t="shared" si="26"/>
        <v>14.559182281334961</v>
      </c>
    </row>
    <row r="276" spans="1:5" x14ac:dyDescent="0.25">
      <c r="A276">
        <v>250</v>
      </c>
      <c r="B276">
        <f t="shared" si="23"/>
        <v>68.497806010000318</v>
      </c>
      <c r="C276">
        <f t="shared" si="24"/>
        <v>12.498020387368918</v>
      </c>
      <c r="D276">
        <f t="shared" si="25"/>
        <v>14.053125380170622</v>
      </c>
      <c r="E276" s="7">
        <f t="shared" si="26"/>
        <v>14.37946636947798</v>
      </c>
    </row>
    <row r="277" spans="1:5" x14ac:dyDescent="0.25">
      <c r="A277">
        <v>251</v>
      </c>
      <c r="B277">
        <f t="shared" si="23"/>
        <v>69.220970005683995</v>
      </c>
      <c r="C277">
        <f t="shared" si="24"/>
        <v>12.40110539649465</v>
      </c>
      <c r="D277">
        <f t="shared" si="25"/>
        <v>13.894628231581407</v>
      </c>
      <c r="E277" s="7">
        <f t="shared" si="26"/>
        <v>14.201777759989577</v>
      </c>
    </row>
    <row r="278" spans="1:5" x14ac:dyDescent="0.25">
      <c r="A278">
        <v>252</v>
      </c>
      <c r="B278">
        <f t="shared" si="23"/>
        <v>69.946387565181297</v>
      </c>
      <c r="C278">
        <f t="shared" si="24"/>
        <v>12.304190405620384</v>
      </c>
      <c r="D278">
        <f t="shared" si="25"/>
        <v>13.737375166986435</v>
      </c>
      <c r="E278" s="7">
        <f t="shared" si="26"/>
        <v>14.026100788502269</v>
      </c>
    </row>
    <row r="279" spans="1:5" x14ac:dyDescent="0.25">
      <c r="A279">
        <v>253</v>
      </c>
      <c r="B279">
        <f t="shared" si="23"/>
        <v>70.674032891335884</v>
      </c>
      <c r="C279">
        <f t="shared" si="24"/>
        <v>12.207275414746118</v>
      </c>
      <c r="D279">
        <f t="shared" si="25"/>
        <v>13.581366186385704</v>
      </c>
      <c r="E279" s="7">
        <f t="shared" si="26"/>
        <v>13.852419790648566</v>
      </c>
    </row>
    <row r="280" spans="1:5" x14ac:dyDescent="0.25">
      <c r="A280">
        <v>254</v>
      </c>
      <c r="B280">
        <f t="shared" si="23"/>
        <v>71.403880409660758</v>
      </c>
      <c r="C280">
        <f t="shared" si="24"/>
        <v>12.11036042387185</v>
      </c>
      <c r="D280">
        <f t="shared" si="25"/>
        <v>13.426601289779212</v>
      </c>
      <c r="E280" s="7">
        <f t="shared" si="26"/>
        <v>13.68071910206098</v>
      </c>
    </row>
    <row r="281" spans="1:5" x14ac:dyDescent="0.25">
      <c r="A281">
        <v>255</v>
      </c>
      <c r="B281">
        <f t="shared" si="23"/>
        <v>72.135904768699191</v>
      </c>
      <c r="C281">
        <f t="shared" si="24"/>
        <v>12.013445432997583</v>
      </c>
      <c r="D281">
        <f t="shared" si="25"/>
        <v>13.273080477166964</v>
      </c>
      <c r="E281" s="7">
        <f t="shared" si="26"/>
        <v>13.510983058372027</v>
      </c>
    </row>
    <row r="282" spans="1:5" x14ac:dyDescent="0.25">
      <c r="A282">
        <v>256</v>
      </c>
      <c r="B282">
        <f t="shared" si="23"/>
        <v>72.870080840297646</v>
      </c>
      <c r="C282">
        <f t="shared" si="24"/>
        <v>11.916530442123317</v>
      </c>
      <c r="D282">
        <f t="shared" si="25"/>
        <v>13.120803748548958</v>
      </c>
      <c r="E282" s="7">
        <f t="shared" si="26"/>
        <v>13.343195995214222</v>
      </c>
    </row>
    <row r="283" spans="1:5" x14ac:dyDescent="0.25">
      <c r="A283">
        <v>257</v>
      </c>
      <c r="B283">
        <f t="shared" si="23"/>
        <v>73.606383719792078</v>
      </c>
      <c r="C283">
        <f t="shared" si="24"/>
        <v>11.819615451249049</v>
      </c>
      <c r="D283">
        <f t="shared" si="25"/>
        <v>12.96977110392519</v>
      </c>
      <c r="E283" s="7">
        <f t="shared" si="26"/>
        <v>13.17734224822007</v>
      </c>
    </row>
    <row r="284" spans="1:5" x14ac:dyDescent="0.25">
      <c r="A284">
        <v>258</v>
      </c>
      <c r="B284">
        <f t="shared" ref="B284:B347" si="27">black_scholes_price($A284,$B$2,$B$3,$B$4,$B$5,$B$6,A$26)</f>
        <v>74.344788726112455</v>
      </c>
      <c r="C284">
        <f t="shared" ref="C284:C347" si="28">$C$10+$C$13*(A284-$B$1)</f>
        <v>11.722700460374783</v>
      </c>
      <c r="D284">
        <f t="shared" ref="D284:D347" si="29">C284+0.5*$C$14*(A284-$B$1)^2</f>
        <v>12.819982543295666</v>
      </c>
      <c r="E284" s="7">
        <f t="shared" ref="E284:E347" si="30">D284+$C$19*(A284-$B$1)^3/6</f>
        <v>13.013406153022094</v>
      </c>
    </row>
    <row r="285" spans="1:5" x14ac:dyDescent="0.25">
      <c r="A285">
        <v>259</v>
      </c>
      <c r="B285">
        <f t="shared" si="27"/>
        <v>75.085271401807034</v>
      </c>
      <c r="C285">
        <f t="shared" si="28"/>
        <v>11.625785469500517</v>
      </c>
      <c r="D285">
        <f t="shared" si="29"/>
        <v>12.671438066660384</v>
      </c>
      <c r="E285" s="7">
        <f t="shared" si="30"/>
        <v>12.851372045252804</v>
      </c>
    </row>
    <row r="286" spans="1:5" x14ac:dyDescent="0.25">
      <c r="A286">
        <v>260</v>
      </c>
      <c r="B286">
        <f t="shared" si="27"/>
        <v>75.827807512989509</v>
      </c>
      <c r="C286">
        <f t="shared" si="28"/>
        <v>11.528870478626249</v>
      </c>
      <c r="D286">
        <f t="shared" si="29"/>
        <v>12.52413767401934</v>
      </c>
      <c r="E286" s="7">
        <f t="shared" si="30"/>
        <v>12.691224260544706</v>
      </c>
    </row>
    <row r="287" spans="1:5" x14ac:dyDescent="0.25">
      <c r="A287">
        <v>261</v>
      </c>
      <c r="B287">
        <f t="shared" si="27"/>
        <v>76.572373049212572</v>
      </c>
      <c r="C287">
        <f t="shared" si="28"/>
        <v>11.431955487751983</v>
      </c>
      <c r="D287">
        <f t="shared" si="29"/>
        <v>12.378081365372541</v>
      </c>
      <c r="E287" s="7">
        <f t="shared" si="30"/>
        <v>12.532947134530326</v>
      </c>
    </row>
    <row r="288" spans="1:5" x14ac:dyDescent="0.25">
      <c r="A288">
        <v>262</v>
      </c>
      <c r="B288">
        <f t="shared" si="27"/>
        <v>77.318944223269142</v>
      </c>
      <c r="C288">
        <f t="shared" si="28"/>
        <v>11.335040496877717</v>
      </c>
      <c r="D288">
        <f t="shared" si="29"/>
        <v>12.233269140719981</v>
      </c>
      <c r="E288" s="7">
        <f t="shared" si="30"/>
        <v>12.376525002842168</v>
      </c>
    </row>
    <row r="289" spans="1:5" x14ac:dyDescent="0.25">
      <c r="A289">
        <v>263</v>
      </c>
      <c r="B289">
        <f t="shared" si="27"/>
        <v>78.067497470925318</v>
      </c>
      <c r="C289">
        <f t="shared" si="28"/>
        <v>11.238125506003449</v>
      </c>
      <c r="D289">
        <f t="shared" si="29"/>
        <v>12.089701000061662</v>
      </c>
      <c r="E289" s="7">
        <f t="shared" si="30"/>
        <v>12.221942201112746</v>
      </c>
    </row>
    <row r="290" spans="1:5" x14ac:dyDescent="0.25">
      <c r="A290">
        <v>264</v>
      </c>
      <c r="B290">
        <f t="shared" si="27"/>
        <v>78.818009450586189</v>
      </c>
      <c r="C290">
        <f t="shared" si="28"/>
        <v>11.141210515129183</v>
      </c>
      <c r="D290">
        <f t="shared" si="29"/>
        <v>11.947376943397586</v>
      </c>
      <c r="E290" s="7">
        <f t="shared" si="30"/>
        <v>12.069183064974579</v>
      </c>
    </row>
    <row r="291" spans="1:5" x14ac:dyDescent="0.25">
      <c r="A291">
        <v>265</v>
      </c>
      <c r="B291">
        <f t="shared" si="27"/>
        <v>79.570457042898695</v>
      </c>
      <c r="C291">
        <f t="shared" si="28"/>
        <v>11.044295524254917</v>
      </c>
      <c r="D291">
        <f t="shared" si="29"/>
        <v>11.806296970727752</v>
      </c>
      <c r="E291" s="7">
        <f t="shared" si="30"/>
        <v>11.918231930060175</v>
      </c>
    </row>
    <row r="292" spans="1:5" x14ac:dyDescent="0.25">
      <c r="A292">
        <v>266</v>
      </c>
      <c r="B292">
        <f t="shared" si="27"/>
        <v>80.324817350292207</v>
      </c>
      <c r="C292">
        <f t="shared" si="28"/>
        <v>10.947380533380649</v>
      </c>
      <c r="D292">
        <f t="shared" si="29"/>
        <v>11.666461082052157</v>
      </c>
      <c r="E292" s="7">
        <f t="shared" si="30"/>
        <v>11.769073132002047</v>
      </c>
    </row>
    <row r="293" spans="1:5" x14ac:dyDescent="0.25">
      <c r="A293">
        <v>267</v>
      </c>
      <c r="B293">
        <f t="shared" si="27"/>
        <v>81.081067696460323</v>
      </c>
      <c r="C293">
        <f t="shared" si="28"/>
        <v>10.850465542506383</v>
      </c>
      <c r="D293">
        <f t="shared" si="29"/>
        <v>11.527869277370804</v>
      </c>
      <c r="E293" s="7">
        <f t="shared" si="30"/>
        <v>11.621691006432712</v>
      </c>
    </row>
    <row r="294" spans="1:5" x14ac:dyDescent="0.25">
      <c r="A294">
        <v>268</v>
      </c>
      <c r="B294">
        <f t="shared" si="27"/>
        <v>81.83918562578603</v>
      </c>
      <c r="C294">
        <f t="shared" si="28"/>
        <v>10.753550551632117</v>
      </c>
      <c r="D294">
        <f t="shared" si="29"/>
        <v>11.390521556683694</v>
      </c>
      <c r="E294" s="7">
        <f t="shared" si="30"/>
        <v>11.476069888984682</v>
      </c>
    </row>
    <row r="295" spans="1:5" x14ac:dyDescent="0.25">
      <c r="A295">
        <v>269</v>
      </c>
      <c r="B295">
        <f t="shared" si="27"/>
        <v>82.599148902711605</v>
      </c>
      <c r="C295">
        <f t="shared" si="28"/>
        <v>10.656635560757849</v>
      </c>
      <c r="D295">
        <f t="shared" si="29"/>
        <v>11.254417919990823</v>
      </c>
      <c r="E295" s="7">
        <f t="shared" si="30"/>
        <v>11.332194115290466</v>
      </c>
    </row>
    <row r="296" spans="1:5" x14ac:dyDescent="0.25">
      <c r="A296">
        <v>270</v>
      </c>
      <c r="B296">
        <f t="shared" si="27"/>
        <v>83.360935511057264</v>
      </c>
      <c r="C296">
        <f t="shared" si="28"/>
        <v>10.559720569883583</v>
      </c>
      <c r="D296">
        <f t="shared" si="29"/>
        <v>11.119558367292196</v>
      </c>
      <c r="E296" s="7">
        <f t="shared" si="30"/>
        <v>11.190048020982585</v>
      </c>
    </row>
    <row r="297" spans="1:5" x14ac:dyDescent="0.25">
      <c r="A297">
        <v>271</v>
      </c>
      <c r="B297">
        <f t="shared" si="27"/>
        <v>84.124523653288605</v>
      </c>
      <c r="C297">
        <f t="shared" si="28"/>
        <v>10.462805579009316</v>
      </c>
      <c r="D297">
        <f t="shared" si="29"/>
        <v>10.98594289858781</v>
      </c>
      <c r="E297" s="7">
        <f t="shared" si="30"/>
        <v>11.049615941693547</v>
      </c>
    </row>
    <row r="298" spans="1:5" x14ac:dyDescent="0.25">
      <c r="A298">
        <v>272</v>
      </c>
      <c r="B298">
        <f t="shared" si="27"/>
        <v>84.889891749736307</v>
      </c>
      <c r="C298">
        <f t="shared" si="28"/>
        <v>10.365890588135048</v>
      </c>
      <c r="D298">
        <f t="shared" si="29"/>
        <v>10.853571513877663</v>
      </c>
      <c r="E298" s="7">
        <f t="shared" si="30"/>
        <v>10.910882213055864</v>
      </c>
    </row>
    <row r="299" spans="1:5" x14ac:dyDescent="0.25">
      <c r="A299">
        <v>273</v>
      </c>
      <c r="B299">
        <f t="shared" si="27"/>
        <v>85.657018437769452</v>
      </c>
      <c r="C299">
        <f t="shared" si="28"/>
        <v>10.268975597260782</v>
      </c>
      <c r="D299">
        <f t="shared" si="29"/>
        <v>10.72244421316176</v>
      </c>
      <c r="E299" s="7">
        <f t="shared" si="30"/>
        <v>10.773831170702053</v>
      </c>
    </row>
    <row r="300" spans="1:5" x14ac:dyDescent="0.25">
      <c r="A300">
        <v>274</v>
      </c>
      <c r="B300">
        <f t="shared" si="27"/>
        <v>86.425882570925111</v>
      </c>
      <c r="C300">
        <f t="shared" si="28"/>
        <v>10.172060606386514</v>
      </c>
      <c r="D300">
        <f t="shared" si="29"/>
        <v>10.592560996440096</v>
      </c>
      <c r="E300" s="7">
        <f t="shared" si="30"/>
        <v>10.638447150264625</v>
      </c>
    </row>
    <row r="301" spans="1:5" x14ac:dyDescent="0.25">
      <c r="A301">
        <v>275</v>
      </c>
      <c r="B301">
        <f t="shared" si="27"/>
        <v>87.196463217995216</v>
      </c>
      <c r="C301">
        <f t="shared" si="28"/>
        <v>10.075145615512248</v>
      </c>
      <c r="D301">
        <f t="shared" si="29"/>
        <v>10.463921863712674</v>
      </c>
      <c r="E301" s="7">
        <f t="shared" si="30"/>
        <v>10.504714487376093</v>
      </c>
    </row>
    <row r="302" spans="1:5" x14ac:dyDescent="0.25">
      <c r="A302">
        <v>276</v>
      </c>
      <c r="B302">
        <f t="shared" si="27"/>
        <v>87.968739662073062</v>
      </c>
      <c r="C302">
        <f t="shared" si="28"/>
        <v>9.9782306246379804</v>
      </c>
      <c r="D302">
        <f t="shared" si="29"/>
        <v>10.336526814979493</v>
      </c>
      <c r="E302" s="7">
        <f t="shared" si="30"/>
        <v>10.372617517668973</v>
      </c>
    </row>
    <row r="303" spans="1:5" x14ac:dyDescent="0.25">
      <c r="A303">
        <v>277</v>
      </c>
      <c r="B303">
        <f t="shared" si="27"/>
        <v>88.742691399561551</v>
      </c>
      <c r="C303">
        <f t="shared" si="28"/>
        <v>9.8813156337637142</v>
      </c>
      <c r="D303">
        <f t="shared" si="29"/>
        <v>10.210375850240554</v>
      </c>
      <c r="E303" s="7">
        <f t="shared" si="30"/>
        <v>10.242140576775775</v>
      </c>
    </row>
    <row r="304" spans="1:5" x14ac:dyDescent="0.25">
      <c r="A304">
        <v>278</v>
      </c>
      <c r="B304">
        <f t="shared" si="27"/>
        <v>89.518298139144278</v>
      </c>
      <c r="C304">
        <f t="shared" si="28"/>
        <v>9.7844006428894481</v>
      </c>
      <c r="D304">
        <f t="shared" si="29"/>
        <v>10.085468969495858</v>
      </c>
      <c r="E304" s="7">
        <f t="shared" si="30"/>
        <v>10.113268000329017</v>
      </c>
    </row>
    <row r="305" spans="1:5" x14ac:dyDescent="0.25">
      <c r="A305">
        <v>279</v>
      </c>
      <c r="B305">
        <f t="shared" si="27"/>
        <v>90.295539800721571</v>
      </c>
      <c r="C305">
        <f t="shared" si="28"/>
        <v>9.6874856520151802</v>
      </c>
      <c r="D305">
        <f t="shared" si="29"/>
        <v>9.9618061727454013</v>
      </c>
      <c r="E305" s="7">
        <f t="shared" si="30"/>
        <v>9.9859841239612042</v>
      </c>
    </row>
    <row r="306" spans="1:5" x14ac:dyDescent="0.25">
      <c r="A306">
        <v>280</v>
      </c>
      <c r="B306">
        <f t="shared" si="27"/>
        <v>91.07439651431315</v>
      </c>
      <c r="C306">
        <f t="shared" si="28"/>
        <v>9.5905706611409141</v>
      </c>
      <c r="D306">
        <f t="shared" si="29"/>
        <v>9.8393874599891866</v>
      </c>
      <c r="E306" s="7">
        <f t="shared" si="30"/>
        <v>9.8602732833048581</v>
      </c>
    </row>
    <row r="307" spans="1:5" x14ac:dyDescent="0.25">
      <c r="A307">
        <v>281</v>
      </c>
      <c r="B307">
        <f t="shared" si="27"/>
        <v>91.854848618928884</v>
      </c>
      <c r="C307">
        <f t="shared" si="28"/>
        <v>9.4936556702666479</v>
      </c>
      <c r="D307">
        <f t="shared" si="29"/>
        <v>9.7182128312272145</v>
      </c>
      <c r="E307" s="7">
        <f t="shared" si="30"/>
        <v>9.736119813992488</v>
      </c>
    </row>
    <row r="308" spans="1:5" x14ac:dyDescent="0.25">
      <c r="A308">
        <v>282</v>
      </c>
      <c r="B308">
        <f t="shared" si="27"/>
        <v>92.636876661408991</v>
      </c>
      <c r="C308">
        <f t="shared" si="28"/>
        <v>9.39674067939238</v>
      </c>
      <c r="D308">
        <f t="shared" si="29"/>
        <v>9.5982822864594812</v>
      </c>
      <c r="E308" s="7">
        <f t="shared" si="30"/>
        <v>9.6135080516566056</v>
      </c>
    </row>
    <row r="309" spans="1:5" x14ac:dyDescent="0.25">
      <c r="A309">
        <v>283</v>
      </c>
      <c r="B309">
        <f t="shared" si="27"/>
        <v>93.420461395236316</v>
      </c>
      <c r="C309">
        <f t="shared" si="28"/>
        <v>9.2998256885181139</v>
      </c>
      <c r="D309">
        <f t="shared" si="29"/>
        <v>9.4795958256859905</v>
      </c>
      <c r="E309" s="7">
        <f t="shared" si="30"/>
        <v>9.4924223319297276</v>
      </c>
    </row>
    <row r="310" spans="1:5" x14ac:dyDescent="0.25">
      <c r="A310">
        <v>284</v>
      </c>
      <c r="B310">
        <f t="shared" si="27"/>
        <v>94.205583779320079</v>
      </c>
      <c r="C310">
        <f t="shared" si="28"/>
        <v>9.2029106976438477</v>
      </c>
      <c r="D310">
        <f t="shared" si="29"/>
        <v>9.3621534489067422</v>
      </c>
      <c r="E310" s="7">
        <f t="shared" si="30"/>
        <v>9.3728469904443656</v>
      </c>
    </row>
    <row r="311" spans="1:5" x14ac:dyDescent="0.25">
      <c r="A311">
        <v>285</v>
      </c>
      <c r="B311">
        <f t="shared" si="27"/>
        <v>94.992224976755125</v>
      </c>
      <c r="C311">
        <f t="shared" si="28"/>
        <v>9.1059957067695798</v>
      </c>
      <c r="D311">
        <f t="shared" si="29"/>
        <v>9.2459551561217328</v>
      </c>
      <c r="E311" s="7">
        <f t="shared" si="30"/>
        <v>9.2547663628330312</v>
      </c>
    </row>
    <row r="312" spans="1:5" x14ac:dyDescent="0.25">
      <c r="A312">
        <v>286</v>
      </c>
      <c r="B312">
        <f t="shared" si="27"/>
        <v>95.78036635355565</v>
      </c>
      <c r="C312">
        <f t="shared" si="28"/>
        <v>9.0090807158953137</v>
      </c>
      <c r="D312">
        <f t="shared" si="29"/>
        <v>9.1310009473309677</v>
      </c>
      <c r="E312" s="7">
        <f t="shared" si="30"/>
        <v>9.138164784728243</v>
      </c>
    </row>
    <row r="313" spans="1:5" x14ac:dyDescent="0.25">
      <c r="A313">
        <v>287</v>
      </c>
      <c r="B313">
        <f t="shared" si="27"/>
        <v>96.569989477366363</v>
      </c>
      <c r="C313">
        <f t="shared" si="28"/>
        <v>8.9121657250210475</v>
      </c>
      <c r="D313">
        <f t="shared" si="29"/>
        <v>9.0172908225344433</v>
      </c>
      <c r="E313" s="7">
        <f t="shared" si="30"/>
        <v>9.023026591762509</v>
      </c>
    </row>
    <row r="314" spans="1:5" x14ac:dyDescent="0.25">
      <c r="A314">
        <v>288</v>
      </c>
      <c r="B314">
        <f t="shared" si="27"/>
        <v>97.361076116151906</v>
      </c>
      <c r="C314">
        <f t="shared" si="28"/>
        <v>8.8152507341467796</v>
      </c>
      <c r="D314">
        <f t="shared" si="29"/>
        <v>8.9048247817321577</v>
      </c>
      <c r="E314" s="7">
        <f t="shared" si="30"/>
        <v>8.9093361195683425</v>
      </c>
    </row>
    <row r="315" spans="1:5" x14ac:dyDescent="0.25">
      <c r="A315">
        <v>289</v>
      </c>
      <c r="B315">
        <f t="shared" si="27"/>
        <v>98.153608236865438</v>
      </c>
      <c r="C315">
        <f t="shared" si="28"/>
        <v>8.7183357432725135</v>
      </c>
      <c r="D315">
        <f t="shared" si="29"/>
        <v>8.7936028249241165</v>
      </c>
      <c r="E315" s="7">
        <f t="shared" si="30"/>
        <v>8.7970777037782604</v>
      </c>
    </row>
    <row r="316" spans="1:5" x14ac:dyDescent="0.25">
      <c r="A316">
        <v>290</v>
      </c>
      <c r="B316">
        <f t="shared" si="27"/>
        <v>98.947568004098429</v>
      </c>
      <c r="C316">
        <f t="shared" si="28"/>
        <v>8.6214207523982473</v>
      </c>
      <c r="D316">
        <f t="shared" si="29"/>
        <v>8.6836249521103159</v>
      </c>
      <c r="E316" s="7">
        <f t="shared" si="30"/>
        <v>8.6862356800247742</v>
      </c>
    </row>
    <row r="317" spans="1:5" x14ac:dyDescent="0.25">
      <c r="A317">
        <v>291</v>
      </c>
      <c r="B317">
        <f t="shared" si="27"/>
        <v>99.742937778711649</v>
      </c>
      <c r="C317">
        <f t="shared" si="28"/>
        <v>8.5245057615239794</v>
      </c>
      <c r="D317">
        <f t="shared" si="29"/>
        <v>8.5748911632907543</v>
      </c>
      <c r="E317" s="7">
        <f t="shared" si="30"/>
        <v>8.5767943839403955</v>
      </c>
    </row>
    <row r="318" spans="1:5" x14ac:dyDescent="0.25">
      <c r="A318">
        <v>292</v>
      </c>
      <c r="B318">
        <f t="shared" si="27"/>
        <v>100.53970011645018</v>
      </c>
      <c r="C318">
        <f t="shared" si="28"/>
        <v>8.4275907706497133</v>
      </c>
      <c r="D318">
        <f t="shared" si="29"/>
        <v>8.4674014584654369</v>
      </c>
      <c r="E318" s="7">
        <f t="shared" si="30"/>
        <v>8.4687381511576394</v>
      </c>
    </row>
    <row r="319" spans="1:5" x14ac:dyDescent="0.25">
      <c r="A319">
        <v>293</v>
      </c>
      <c r="B319">
        <f t="shared" si="27"/>
        <v>101.3378377665417</v>
      </c>
      <c r="C319">
        <f t="shared" si="28"/>
        <v>8.3306757797754472</v>
      </c>
      <c r="D319">
        <f t="shared" si="29"/>
        <v>8.3611558376343602</v>
      </c>
      <c r="E319" s="7">
        <f t="shared" si="30"/>
        <v>8.3620513173090192</v>
      </c>
    </row>
    <row r="320" spans="1:5" x14ac:dyDescent="0.25">
      <c r="A320">
        <v>294</v>
      </c>
      <c r="B320">
        <f t="shared" si="27"/>
        <v>102.13733367028095</v>
      </c>
      <c r="C320">
        <f t="shared" si="28"/>
        <v>8.2337607889011792</v>
      </c>
      <c r="D320">
        <f t="shared" si="29"/>
        <v>8.2561543007975242</v>
      </c>
      <c r="E320" s="7">
        <f t="shared" si="30"/>
        <v>8.2567182180270482</v>
      </c>
    </row>
    <row r="321" spans="1:5" x14ac:dyDescent="0.25">
      <c r="A321">
        <v>295</v>
      </c>
      <c r="B321">
        <f t="shared" si="27"/>
        <v>102.93817095959969</v>
      </c>
      <c r="C321">
        <f t="shared" si="28"/>
        <v>8.1368457980269131</v>
      </c>
      <c r="D321">
        <f t="shared" si="29"/>
        <v>8.1523968479549307</v>
      </c>
      <c r="E321" s="7">
        <f t="shared" si="30"/>
        <v>8.152723188944238</v>
      </c>
    </row>
    <row r="322" spans="1:5" x14ac:dyDescent="0.25">
      <c r="A322">
        <v>296</v>
      </c>
      <c r="B322">
        <f t="shared" si="27"/>
        <v>103.74033295562461</v>
      </c>
      <c r="C322">
        <f t="shared" si="28"/>
        <v>8.0399308071526452</v>
      </c>
      <c r="D322">
        <f t="shared" si="29"/>
        <v>8.0498834791065761</v>
      </c>
      <c r="E322" s="7">
        <f t="shared" si="30"/>
        <v>8.0500505656931018</v>
      </c>
    </row>
    <row r="323" spans="1:5" x14ac:dyDescent="0.25">
      <c r="A323">
        <v>297</v>
      </c>
      <c r="B323">
        <f t="shared" si="27"/>
        <v>104.54380316722342</v>
      </c>
      <c r="C323">
        <f t="shared" si="28"/>
        <v>7.943015816278379</v>
      </c>
      <c r="D323">
        <f t="shared" si="29"/>
        <v>7.9486141942524648</v>
      </c>
      <c r="E323" s="7">
        <f t="shared" si="30"/>
        <v>7.9486846839061549</v>
      </c>
    </row>
    <row r="324" spans="1:5" x14ac:dyDescent="0.25">
      <c r="A324">
        <v>298</v>
      </c>
      <c r="B324">
        <f t="shared" si="27"/>
        <v>105.34856528954032</v>
      </c>
      <c r="C324">
        <f t="shared" si="28"/>
        <v>7.846100825404112</v>
      </c>
      <c r="D324">
        <f t="shared" si="29"/>
        <v>7.8485889933925952</v>
      </c>
      <c r="E324" s="7">
        <f t="shared" si="30"/>
        <v>7.8486098792159105</v>
      </c>
    </row>
    <row r="325" spans="1:5" x14ac:dyDescent="0.25">
      <c r="A325">
        <v>299</v>
      </c>
      <c r="B325">
        <f t="shared" si="27"/>
        <v>106.15460320252146</v>
      </c>
      <c r="C325">
        <f t="shared" si="28"/>
        <v>7.7491858345298459</v>
      </c>
      <c r="D325">
        <f t="shared" si="29"/>
        <v>7.7498078765269662</v>
      </c>
      <c r="E325" s="7">
        <f t="shared" si="30"/>
        <v>7.749810487254881</v>
      </c>
    </row>
    <row r="326" spans="1:5" x14ac:dyDescent="0.25">
      <c r="A326">
        <v>300</v>
      </c>
      <c r="B326">
        <f t="shared" si="27"/>
        <v>106.96190096943187</v>
      </c>
      <c r="C326">
        <f t="shared" si="28"/>
        <v>7.6522708436555789</v>
      </c>
      <c r="D326">
        <f t="shared" si="29"/>
        <v>7.6522708436555789</v>
      </c>
      <c r="E326" s="7">
        <f t="shared" si="30"/>
        <v>7.6522708436555789</v>
      </c>
    </row>
    <row r="327" spans="1:5" x14ac:dyDescent="0.25">
      <c r="A327">
        <v>301</v>
      </c>
      <c r="B327">
        <f t="shared" si="27"/>
        <v>107.77044283536404</v>
      </c>
      <c r="C327">
        <f t="shared" si="28"/>
        <v>7.5553558527813118</v>
      </c>
      <c r="D327">
        <f t="shared" si="29"/>
        <v>7.5559778947784322</v>
      </c>
      <c r="E327" s="7">
        <f t="shared" si="30"/>
        <v>7.5559752840505174</v>
      </c>
    </row>
    <row r="328" spans="1:5" x14ac:dyDescent="0.25">
      <c r="A328">
        <v>302</v>
      </c>
      <c r="B328">
        <f t="shared" si="27"/>
        <v>108.58021322573947</v>
      </c>
      <c r="C328">
        <f t="shared" si="28"/>
        <v>7.4584408619070457</v>
      </c>
      <c r="D328">
        <f t="shared" si="29"/>
        <v>7.4609290298955289</v>
      </c>
      <c r="E328" s="7">
        <f t="shared" si="30"/>
        <v>7.4609081440722136</v>
      </c>
    </row>
    <row r="329" spans="1:5" x14ac:dyDescent="0.25">
      <c r="A329">
        <v>303</v>
      </c>
      <c r="B329">
        <f t="shared" si="27"/>
        <v>109.39119674480426</v>
      </c>
      <c r="C329">
        <f t="shared" si="28"/>
        <v>7.3615258710327787</v>
      </c>
      <c r="D329">
        <f t="shared" si="29"/>
        <v>7.3671242490068645</v>
      </c>
      <c r="E329" s="7">
        <f t="shared" si="30"/>
        <v>7.3670537593531744</v>
      </c>
    </row>
    <row r="330" spans="1:5" x14ac:dyDescent="0.25">
      <c r="A330">
        <v>304</v>
      </c>
      <c r="B330">
        <f t="shared" si="27"/>
        <v>110.20337817411806</v>
      </c>
      <c r="C330">
        <f t="shared" si="28"/>
        <v>7.2646108801585116</v>
      </c>
      <c r="D330">
        <f t="shared" si="29"/>
        <v>7.2745635521124425</v>
      </c>
      <c r="E330" s="7">
        <f t="shared" si="30"/>
        <v>7.2743964655259168</v>
      </c>
    </row>
    <row r="331" spans="1:5" x14ac:dyDescent="0.25">
      <c r="A331">
        <v>305</v>
      </c>
      <c r="B331">
        <f t="shared" si="27"/>
        <v>111.01674247103952</v>
      </c>
      <c r="C331">
        <f t="shared" si="28"/>
        <v>7.1676958892842446</v>
      </c>
      <c r="D331">
        <f t="shared" si="29"/>
        <v>7.1832469392122613</v>
      </c>
      <c r="E331" s="7">
        <f t="shared" si="30"/>
        <v>7.182920598222954</v>
      </c>
    </row>
    <row r="332" spans="1:5" x14ac:dyDescent="0.25">
      <c r="A332">
        <v>306</v>
      </c>
      <c r="B332">
        <f t="shared" si="27"/>
        <v>111.83127476720631</v>
      </c>
      <c r="C332">
        <f t="shared" si="28"/>
        <v>7.0707808984099785</v>
      </c>
      <c r="D332">
        <f t="shared" si="29"/>
        <v>7.0931744103063235</v>
      </c>
      <c r="E332" s="7">
        <f t="shared" si="30"/>
        <v>7.0926104930768004</v>
      </c>
    </row>
    <row r="333" spans="1:5" x14ac:dyDescent="0.25">
      <c r="A333">
        <v>307</v>
      </c>
      <c r="B333">
        <f t="shared" si="27"/>
        <v>112.6469603670127</v>
      </c>
      <c r="C333">
        <f t="shared" si="28"/>
        <v>6.9738659075357115</v>
      </c>
      <c r="D333">
        <f t="shared" si="29"/>
        <v>7.0043459653946245</v>
      </c>
      <c r="E333" s="7">
        <f t="shared" si="30"/>
        <v>7.0034504857199655</v>
      </c>
    </row>
    <row r="334" spans="1:5" x14ac:dyDescent="0.25">
      <c r="A334">
        <v>308</v>
      </c>
      <c r="B334">
        <f t="shared" si="27"/>
        <v>113.46378474608426</v>
      </c>
      <c r="C334">
        <f t="shared" si="28"/>
        <v>6.8769509166614444</v>
      </c>
      <c r="D334">
        <f t="shared" si="29"/>
        <v>6.916761604477168</v>
      </c>
      <c r="E334" s="7">
        <f t="shared" si="30"/>
        <v>6.9154249117849647</v>
      </c>
    </row>
    <row r="335" spans="1:5" x14ac:dyDescent="0.25">
      <c r="A335">
        <v>309</v>
      </c>
      <c r="B335">
        <f t="shared" si="27"/>
        <v>114.28173354974973</v>
      </c>
      <c r="C335">
        <f t="shared" si="28"/>
        <v>6.7800359257871783</v>
      </c>
      <c r="D335">
        <f t="shared" si="29"/>
        <v>6.8304213275539531</v>
      </c>
      <c r="E335" s="7">
        <f t="shared" si="30"/>
        <v>6.8285181069043128</v>
      </c>
    </row>
    <row r="336" spans="1:5" x14ac:dyDescent="0.25">
      <c r="A336">
        <v>310</v>
      </c>
      <c r="B336">
        <f t="shared" si="27"/>
        <v>115.10079259151212</v>
      </c>
      <c r="C336">
        <f t="shared" si="28"/>
        <v>6.6831209349129113</v>
      </c>
      <c r="D336">
        <f t="shared" si="29"/>
        <v>6.7453251346249798</v>
      </c>
      <c r="E336" s="7">
        <f t="shared" si="30"/>
        <v>6.7427144067105207</v>
      </c>
    </row>
    <row r="337" spans="1:5" x14ac:dyDescent="0.25">
      <c r="A337">
        <v>311</v>
      </c>
      <c r="B337">
        <f t="shared" si="27"/>
        <v>115.92094785151917</v>
      </c>
      <c r="C337">
        <f t="shared" si="28"/>
        <v>6.5862059440386442</v>
      </c>
      <c r="D337">
        <f t="shared" si="29"/>
        <v>6.6614730256902464</v>
      </c>
      <c r="E337" s="7">
        <f t="shared" si="30"/>
        <v>6.6579981468361016</v>
      </c>
    </row>
    <row r="338" spans="1:5" x14ac:dyDescent="0.25">
      <c r="A338">
        <v>312</v>
      </c>
      <c r="B338">
        <f t="shared" si="27"/>
        <v>116.74218547503256</v>
      </c>
      <c r="C338">
        <f t="shared" si="28"/>
        <v>6.4892909531643781</v>
      </c>
      <c r="D338">
        <f t="shared" si="29"/>
        <v>6.5788650007497562</v>
      </c>
      <c r="E338" s="7">
        <f t="shared" si="30"/>
        <v>6.5743536629135715</v>
      </c>
    </row>
    <row r="339" spans="1:5" x14ac:dyDescent="0.25">
      <c r="A339">
        <v>313</v>
      </c>
      <c r="B339">
        <f t="shared" si="27"/>
        <v>117.56449177089851</v>
      </c>
      <c r="C339">
        <f t="shared" si="28"/>
        <v>6.3923759622901111</v>
      </c>
      <c r="D339">
        <f t="shared" si="29"/>
        <v>6.4975010598035059</v>
      </c>
      <c r="E339" s="7">
        <f t="shared" si="30"/>
        <v>6.4917652905754402</v>
      </c>
    </row>
    <row r="340" spans="1:5" x14ac:dyDescent="0.25">
      <c r="A340">
        <v>314</v>
      </c>
      <c r="B340">
        <f t="shared" si="27"/>
        <v>118.38785321001836</v>
      </c>
      <c r="C340">
        <f t="shared" si="28"/>
        <v>6.295460971415844</v>
      </c>
      <c r="D340">
        <f t="shared" si="29"/>
        <v>6.417381202851498</v>
      </c>
      <c r="E340" s="7">
        <f t="shared" si="30"/>
        <v>6.4102173654542227</v>
      </c>
    </row>
    <row r="341" spans="1:5" x14ac:dyDescent="0.25">
      <c r="A341">
        <v>315</v>
      </c>
      <c r="B341">
        <f t="shared" si="27"/>
        <v>119.21225642382083</v>
      </c>
      <c r="C341">
        <f t="shared" si="28"/>
        <v>6.198545980541577</v>
      </c>
      <c r="D341">
        <f t="shared" si="29"/>
        <v>6.3385054298937309</v>
      </c>
      <c r="E341" s="7">
        <f t="shared" si="30"/>
        <v>6.3296942231824325</v>
      </c>
    </row>
    <row r="342" spans="1:5" x14ac:dyDescent="0.25">
      <c r="A342">
        <v>316</v>
      </c>
      <c r="B342">
        <f t="shared" si="27"/>
        <v>120.03768820273621</v>
      </c>
      <c r="C342">
        <f t="shared" si="28"/>
        <v>6.10163098966731</v>
      </c>
      <c r="D342">
        <f t="shared" si="29"/>
        <v>6.2608737409302044</v>
      </c>
      <c r="E342" s="7">
        <f t="shared" si="30"/>
        <v>6.250180199392581</v>
      </c>
    </row>
    <row r="343" spans="1:5" x14ac:dyDescent="0.25">
      <c r="A343">
        <v>317</v>
      </c>
      <c r="B343">
        <f t="shared" si="27"/>
        <v>120.86413549467269</v>
      </c>
      <c r="C343">
        <f t="shared" si="28"/>
        <v>6.0047159987930439</v>
      </c>
      <c r="D343">
        <f t="shared" si="29"/>
        <v>6.1844861359609213</v>
      </c>
      <c r="E343" s="7">
        <f t="shared" si="30"/>
        <v>6.1716596297171851</v>
      </c>
    </row>
    <row r="344" spans="1:5" x14ac:dyDescent="0.25">
      <c r="A344">
        <v>318</v>
      </c>
      <c r="B344">
        <f t="shared" si="27"/>
        <v>121.69158540349565</v>
      </c>
      <c r="C344">
        <f t="shared" si="28"/>
        <v>5.9078010079187768</v>
      </c>
      <c r="D344">
        <f t="shared" si="29"/>
        <v>6.1093426149858781</v>
      </c>
      <c r="E344" s="7">
        <f t="shared" si="30"/>
        <v>6.0941168497887537</v>
      </c>
    </row>
    <row r="345" spans="1:5" x14ac:dyDescent="0.25">
      <c r="A345">
        <v>319</v>
      </c>
      <c r="B345">
        <f t="shared" si="27"/>
        <v>122.52002518750984</v>
      </c>
      <c r="C345">
        <f t="shared" si="28"/>
        <v>5.8108860170445098</v>
      </c>
      <c r="D345">
        <f t="shared" si="29"/>
        <v>6.0354431780050763</v>
      </c>
      <c r="E345" s="7">
        <f t="shared" si="30"/>
        <v>6.0175361952398028</v>
      </c>
    </row>
    <row r="346" spans="1:5" x14ac:dyDescent="0.25">
      <c r="A346">
        <v>320</v>
      </c>
      <c r="B346">
        <f t="shared" si="27"/>
        <v>123.34944225794538</v>
      </c>
      <c r="C346">
        <f t="shared" si="28"/>
        <v>5.7139710261702437</v>
      </c>
      <c r="D346">
        <f t="shared" si="29"/>
        <v>5.9627878250185162</v>
      </c>
      <c r="E346" s="7">
        <f t="shared" si="30"/>
        <v>5.9419020017028457</v>
      </c>
    </row>
    <row r="347" spans="1:5" x14ac:dyDescent="0.25">
      <c r="A347">
        <v>321</v>
      </c>
      <c r="B347">
        <f t="shared" si="27"/>
        <v>124.17982417744824</v>
      </c>
      <c r="C347">
        <f t="shared" si="28"/>
        <v>5.6170560352959766</v>
      </c>
      <c r="D347">
        <f t="shared" si="29"/>
        <v>5.8913765560261977</v>
      </c>
      <c r="E347" s="7">
        <f t="shared" si="30"/>
        <v>5.8671986048103939</v>
      </c>
    </row>
    <row r="348" spans="1:5" x14ac:dyDescent="0.25">
      <c r="A348">
        <v>322</v>
      </c>
      <c r="B348">
        <f t="shared" ref="B348:B411" si="31">black_scholes_price($A348,$B$2,$B$3,$B$4,$B$5,$B$6,A$26)</f>
        <v>125.01115865857429</v>
      </c>
      <c r="C348">
        <f t="shared" ref="C348:C411" si="32">$C$10+$C$13*(A348-$B$1)</f>
        <v>5.5201410444217096</v>
      </c>
      <c r="D348">
        <f t="shared" ref="D348:D411" si="33">C348+0.5*$C$14*(A348-$B$1)^2</f>
        <v>5.8212093710281199</v>
      </c>
      <c r="E348" s="7">
        <f t="shared" ref="E348:E411" si="34">D348+$C$19*(A348-$B$1)^3/6</f>
        <v>5.7934103401949617</v>
      </c>
    </row>
    <row r="349" spans="1:5" x14ac:dyDescent="0.25">
      <c r="A349">
        <v>323</v>
      </c>
      <c r="B349">
        <f t="shared" si="31"/>
        <v>125.84343356228891</v>
      </c>
      <c r="C349">
        <f t="shared" si="32"/>
        <v>5.4232260535474435</v>
      </c>
      <c r="D349">
        <f t="shared" si="33"/>
        <v>5.7522862700242845</v>
      </c>
      <c r="E349" s="7">
        <f t="shared" si="34"/>
        <v>5.7205215434890633</v>
      </c>
    </row>
    <row r="350" spans="1:5" x14ac:dyDescent="0.25">
      <c r="A350">
        <v>324</v>
      </c>
      <c r="B350">
        <f t="shared" si="31"/>
        <v>126.67663689647134</v>
      </c>
      <c r="C350">
        <f t="shared" si="32"/>
        <v>5.3263110626731764</v>
      </c>
      <c r="D350">
        <f t="shared" si="33"/>
        <v>5.6846072530146889</v>
      </c>
      <c r="E350" s="7">
        <f t="shared" si="34"/>
        <v>5.6485165503252093</v>
      </c>
    </row>
    <row r="351" spans="1:5" x14ac:dyDescent="0.25">
      <c r="A351">
        <v>325</v>
      </c>
      <c r="B351">
        <f t="shared" si="31"/>
        <v>127.51075681442467</v>
      </c>
      <c r="C351">
        <f t="shared" si="32"/>
        <v>5.2293960717989094</v>
      </c>
      <c r="D351">
        <f t="shared" si="33"/>
        <v>5.6181723199993359</v>
      </c>
      <c r="E351" s="7">
        <f t="shared" si="34"/>
        <v>5.5773796963359166</v>
      </c>
    </row>
    <row r="352" spans="1:5" x14ac:dyDescent="0.25">
      <c r="A352">
        <v>326</v>
      </c>
      <c r="B352">
        <f t="shared" si="31"/>
        <v>128.34578161339181</v>
      </c>
      <c r="C352">
        <f t="shared" si="32"/>
        <v>5.1324810809246433</v>
      </c>
      <c r="D352">
        <f t="shared" si="33"/>
        <v>5.5529814709782244</v>
      </c>
      <c r="E352" s="7">
        <f t="shared" si="34"/>
        <v>5.5070953171536958</v>
      </c>
    </row>
    <row r="353" spans="1:5" x14ac:dyDescent="0.25">
      <c r="A353">
        <v>327</v>
      </c>
      <c r="B353">
        <f t="shared" si="31"/>
        <v>129.18169973307738</v>
      </c>
      <c r="C353">
        <f t="shared" si="32"/>
        <v>5.0355660900503754</v>
      </c>
      <c r="D353">
        <f t="shared" si="33"/>
        <v>5.4890347059513527</v>
      </c>
      <c r="E353" s="7">
        <f t="shared" si="34"/>
        <v>5.4376477484110586</v>
      </c>
    </row>
    <row r="354" spans="1:5" x14ac:dyDescent="0.25">
      <c r="A354">
        <v>328</v>
      </c>
      <c r="B354">
        <f t="shared" si="31"/>
        <v>130.01849975417605</v>
      </c>
      <c r="C354">
        <f t="shared" si="32"/>
        <v>4.9386510991761092</v>
      </c>
      <c r="D354">
        <f t="shared" si="33"/>
        <v>5.4263320249187235</v>
      </c>
      <c r="E354" s="7">
        <f t="shared" si="34"/>
        <v>5.3690213257405226</v>
      </c>
    </row>
    <row r="355" spans="1:5" x14ac:dyDescent="0.25">
      <c r="A355">
        <v>329</v>
      </c>
      <c r="B355">
        <f t="shared" si="31"/>
        <v>130.85617039690791</v>
      </c>
      <c r="C355">
        <f t="shared" si="32"/>
        <v>4.8417361083018422</v>
      </c>
      <c r="D355">
        <f t="shared" si="33"/>
        <v>5.3648734278803358</v>
      </c>
      <c r="E355" s="7">
        <f t="shared" si="34"/>
        <v>5.3012003847745985</v>
      </c>
    </row>
    <row r="356" spans="1:5" x14ac:dyDescent="0.25">
      <c r="A356">
        <v>330</v>
      </c>
      <c r="B356">
        <f t="shared" si="31"/>
        <v>131.69470051956046</v>
      </c>
      <c r="C356">
        <f t="shared" si="32"/>
        <v>4.7448211174275752</v>
      </c>
      <c r="D356">
        <f t="shared" si="33"/>
        <v>5.3046589148361889</v>
      </c>
      <c r="E356" s="7">
        <f t="shared" si="34"/>
        <v>5.2341692611457997</v>
      </c>
    </row>
    <row r="357" spans="1:5" x14ac:dyDescent="0.25">
      <c r="A357">
        <v>331</v>
      </c>
      <c r="B357">
        <f t="shared" si="31"/>
        <v>132.53407911703806</v>
      </c>
      <c r="C357">
        <f t="shared" si="32"/>
        <v>4.647906126553309</v>
      </c>
      <c r="D357">
        <f t="shared" si="33"/>
        <v>5.2456884857862844</v>
      </c>
      <c r="E357" s="7">
        <f t="shared" si="34"/>
        <v>5.1679122904866404</v>
      </c>
    </row>
    <row r="358" spans="1:5" x14ac:dyDescent="0.25">
      <c r="A358">
        <v>332</v>
      </c>
      <c r="B358">
        <f t="shared" si="31"/>
        <v>133.37429531941885</v>
      </c>
      <c r="C358">
        <f t="shared" si="32"/>
        <v>4.550991135679042</v>
      </c>
      <c r="D358">
        <f t="shared" si="33"/>
        <v>5.1879621407306207</v>
      </c>
      <c r="E358" s="7">
        <f t="shared" si="34"/>
        <v>5.1024138084296329</v>
      </c>
    </row>
    <row r="359" spans="1:5" x14ac:dyDescent="0.25">
      <c r="A359">
        <v>333</v>
      </c>
      <c r="B359">
        <f t="shared" si="31"/>
        <v>134.21533839051921</v>
      </c>
      <c r="C359">
        <f t="shared" si="32"/>
        <v>4.454076144804775</v>
      </c>
      <c r="D359">
        <f t="shared" si="33"/>
        <v>5.1314798796691976</v>
      </c>
      <c r="E359" s="7">
        <f t="shared" si="34"/>
        <v>5.0376581506072897</v>
      </c>
    </row>
    <row r="360" spans="1:5" x14ac:dyDescent="0.25">
      <c r="A360">
        <v>334</v>
      </c>
      <c r="B360">
        <f t="shared" si="31"/>
        <v>135.05719772646697</v>
      </c>
      <c r="C360">
        <f t="shared" si="32"/>
        <v>4.3571611539305088</v>
      </c>
      <c r="D360">
        <f t="shared" si="33"/>
        <v>5.076241702602017</v>
      </c>
      <c r="E360" s="7">
        <f t="shared" si="34"/>
        <v>4.973629652652126</v>
      </c>
    </row>
    <row r="361" spans="1:5" x14ac:dyDescent="0.25">
      <c r="A361">
        <v>335</v>
      </c>
      <c r="B361">
        <f t="shared" si="31"/>
        <v>135.89986285428142</v>
      </c>
      <c r="C361">
        <f t="shared" si="32"/>
        <v>4.2602461630562418</v>
      </c>
      <c r="D361">
        <f t="shared" si="33"/>
        <v>5.0222476095290771</v>
      </c>
      <c r="E361" s="7">
        <f t="shared" si="34"/>
        <v>4.9103126501966532</v>
      </c>
    </row>
    <row r="362" spans="1:5" x14ac:dyDescent="0.25">
      <c r="A362">
        <v>336</v>
      </c>
      <c r="B362">
        <f t="shared" si="31"/>
        <v>136.74332343046291</v>
      </c>
      <c r="C362">
        <f t="shared" si="32"/>
        <v>4.1633311721819748</v>
      </c>
      <c r="D362">
        <f t="shared" si="33"/>
        <v>4.9694976004503788</v>
      </c>
      <c r="E362" s="7">
        <f t="shared" si="34"/>
        <v>4.8476914788733865</v>
      </c>
    </row>
    <row r="363" spans="1:5" x14ac:dyDescent="0.25">
      <c r="A363">
        <v>337</v>
      </c>
      <c r="B363">
        <f t="shared" si="31"/>
        <v>137.58756923959032</v>
      </c>
      <c r="C363">
        <f t="shared" si="32"/>
        <v>4.0664161813077087</v>
      </c>
      <c r="D363">
        <f t="shared" si="33"/>
        <v>4.9179916753659221</v>
      </c>
      <c r="E363" s="7">
        <f t="shared" si="34"/>
        <v>4.7857504743148374</v>
      </c>
    </row>
    <row r="364" spans="1:5" x14ac:dyDescent="0.25">
      <c r="A364">
        <v>338</v>
      </c>
      <c r="B364">
        <f t="shared" si="31"/>
        <v>138.43259019292773</v>
      </c>
      <c r="C364">
        <f t="shared" si="32"/>
        <v>3.9695011904334412</v>
      </c>
      <c r="D364">
        <f t="shared" si="33"/>
        <v>4.867729834275706</v>
      </c>
      <c r="E364" s="7">
        <f t="shared" si="34"/>
        <v>4.7244739721535201</v>
      </c>
    </row>
    <row r="365" spans="1:5" x14ac:dyDescent="0.25">
      <c r="A365">
        <v>339</v>
      </c>
      <c r="B365">
        <f t="shared" si="31"/>
        <v>139.27837632703952</v>
      </c>
      <c r="C365">
        <f t="shared" si="32"/>
        <v>3.8725861995591746</v>
      </c>
      <c r="D365">
        <f t="shared" si="33"/>
        <v>4.8187120771797316</v>
      </c>
      <c r="E365" s="7">
        <f t="shared" si="34"/>
        <v>4.663846308021947</v>
      </c>
    </row>
    <row r="366" spans="1:5" x14ac:dyDescent="0.25">
      <c r="A366">
        <v>340</v>
      </c>
      <c r="B366">
        <f t="shared" si="31"/>
        <v>140.12491780241493</v>
      </c>
      <c r="C366">
        <f t="shared" si="32"/>
        <v>3.7756712086849076</v>
      </c>
      <c r="D366">
        <f t="shared" si="33"/>
        <v>4.7709384040779987</v>
      </c>
      <c r="E366" s="7">
        <f t="shared" si="34"/>
        <v>4.6038518175526315</v>
      </c>
    </row>
    <row r="367" spans="1:5" x14ac:dyDescent="0.25">
      <c r="A367">
        <v>341</v>
      </c>
      <c r="B367">
        <f t="shared" si="31"/>
        <v>140.9722049021012</v>
      </c>
      <c r="C367">
        <f t="shared" si="32"/>
        <v>3.678756217810641</v>
      </c>
      <c r="D367">
        <f t="shared" si="33"/>
        <v>4.7244088149705075</v>
      </c>
      <c r="E367" s="7">
        <f t="shared" si="34"/>
        <v>4.5444748363780887</v>
      </c>
    </row>
    <row r="368" spans="1:5" x14ac:dyDescent="0.25">
      <c r="A368">
        <v>342</v>
      </c>
      <c r="B368">
        <f t="shared" si="31"/>
        <v>141.82022803034729</v>
      </c>
      <c r="C368">
        <f t="shared" si="32"/>
        <v>3.5818412269363744</v>
      </c>
      <c r="D368">
        <f t="shared" si="33"/>
        <v>4.6791233098572569</v>
      </c>
      <c r="E368" s="7">
        <f t="shared" si="34"/>
        <v>4.4856997001308292</v>
      </c>
    </row>
    <row r="369" spans="1:5" x14ac:dyDescent="0.25">
      <c r="A369">
        <v>343</v>
      </c>
      <c r="B369">
        <f t="shared" si="31"/>
        <v>142.66897771125545</v>
      </c>
      <c r="C369">
        <f t="shared" si="32"/>
        <v>3.4849262360621074</v>
      </c>
      <c r="D369">
        <f t="shared" si="33"/>
        <v>4.6350818887382479</v>
      </c>
      <c r="E369" s="7">
        <f t="shared" si="34"/>
        <v>4.4275107444433672</v>
      </c>
    </row>
    <row r="370" spans="1:5" x14ac:dyDescent="0.25">
      <c r="A370">
        <v>344</v>
      </c>
      <c r="B370">
        <f t="shared" si="31"/>
        <v>143.51844458744387</v>
      </c>
      <c r="C370">
        <f t="shared" si="32"/>
        <v>3.3880112451878404</v>
      </c>
      <c r="D370">
        <f t="shared" si="33"/>
        <v>4.5922845516134805</v>
      </c>
      <c r="E370" s="7">
        <f t="shared" si="34"/>
        <v>4.369892304948217</v>
      </c>
    </row>
    <row r="371" spans="1:5" x14ac:dyDescent="0.25">
      <c r="A371">
        <v>345</v>
      </c>
      <c r="B371">
        <f t="shared" si="31"/>
        <v>144.36861941871791</v>
      </c>
      <c r="C371">
        <f t="shared" si="32"/>
        <v>3.2910962543135742</v>
      </c>
      <c r="D371">
        <f t="shared" si="33"/>
        <v>4.5507312984829547</v>
      </c>
      <c r="E371" s="7">
        <f t="shared" si="34"/>
        <v>4.312828717277891</v>
      </c>
    </row>
    <row r="372" spans="1:5" x14ac:dyDescent="0.25">
      <c r="A372">
        <v>346</v>
      </c>
      <c r="B372">
        <f t="shared" si="31"/>
        <v>145.21949308075185</v>
      </c>
      <c r="C372">
        <f t="shared" si="32"/>
        <v>3.1941812634393072</v>
      </c>
      <c r="D372">
        <f t="shared" si="33"/>
        <v>4.5104221293466704</v>
      </c>
      <c r="E372" s="7">
        <f t="shared" si="34"/>
        <v>4.2563043170649033</v>
      </c>
    </row>
    <row r="373" spans="1:5" x14ac:dyDescent="0.25">
      <c r="A373">
        <v>347</v>
      </c>
      <c r="B373">
        <f t="shared" si="31"/>
        <v>146.07105656378039</v>
      </c>
      <c r="C373">
        <f t="shared" si="32"/>
        <v>3.0972662725650402</v>
      </c>
      <c r="D373">
        <f t="shared" si="33"/>
        <v>4.4713570442046269</v>
      </c>
      <c r="E373" s="7">
        <f t="shared" si="34"/>
        <v>4.2003034399417647</v>
      </c>
    </row>
    <row r="374" spans="1:5" x14ac:dyDescent="0.25">
      <c r="A374">
        <v>348</v>
      </c>
      <c r="B374">
        <f t="shared" si="31"/>
        <v>146.92330097129994</v>
      </c>
      <c r="C374">
        <f t="shared" si="32"/>
        <v>3.000351281690774</v>
      </c>
      <c r="D374">
        <f t="shared" si="33"/>
        <v>4.4335360430568249</v>
      </c>
      <c r="E374" s="7">
        <f t="shared" si="34"/>
        <v>4.1448104215409911</v>
      </c>
    </row>
    <row r="375" spans="1:5" x14ac:dyDescent="0.25">
      <c r="A375">
        <v>349</v>
      </c>
      <c r="B375">
        <f t="shared" si="31"/>
        <v>147.7762175187803</v>
      </c>
      <c r="C375">
        <f t="shared" si="32"/>
        <v>2.903436290816507</v>
      </c>
      <c r="D375">
        <f t="shared" si="33"/>
        <v>4.3969591259032637</v>
      </c>
      <c r="E375" s="7">
        <f t="shared" si="34"/>
        <v>4.0898095974950932</v>
      </c>
    </row>
    <row r="376" spans="1:5" x14ac:dyDescent="0.25">
      <c r="A376">
        <v>350</v>
      </c>
      <c r="B376">
        <f t="shared" si="31"/>
        <v>148.62979753238611</v>
      </c>
      <c r="C376">
        <f t="shared" si="32"/>
        <v>2.80652129994224</v>
      </c>
      <c r="D376">
        <f t="shared" si="33"/>
        <v>4.3616262927439449</v>
      </c>
      <c r="E376" s="7">
        <f t="shared" si="34"/>
        <v>4.0352853034365879</v>
      </c>
    </row>
    <row r="377" spans="1:5" x14ac:dyDescent="0.25">
      <c r="A377">
        <v>351</v>
      </c>
      <c r="B377">
        <f t="shared" si="31"/>
        <v>149.48403244770907</v>
      </c>
      <c r="C377">
        <f t="shared" si="32"/>
        <v>2.709606309067973</v>
      </c>
      <c r="D377">
        <f t="shared" si="33"/>
        <v>4.3275375435788668</v>
      </c>
      <c r="E377" s="7">
        <f t="shared" si="34"/>
        <v>3.9812218749979849</v>
      </c>
    </row>
    <row r="378" spans="1:5" x14ac:dyDescent="0.25">
      <c r="A378">
        <v>352</v>
      </c>
      <c r="B378">
        <f t="shared" si="31"/>
        <v>150.33891380851</v>
      </c>
      <c r="C378">
        <f t="shared" si="32"/>
        <v>2.6126913181937068</v>
      </c>
      <c r="D378">
        <f t="shared" si="33"/>
        <v>4.2946928784080303</v>
      </c>
      <c r="E378" s="7">
        <f t="shared" si="34"/>
        <v>3.9276036478117993</v>
      </c>
    </row>
    <row r="379" spans="1:5" x14ac:dyDescent="0.25">
      <c r="A379">
        <v>353</v>
      </c>
      <c r="B379">
        <f t="shared" si="31"/>
        <v>151.1944332654715</v>
      </c>
      <c r="C379">
        <f t="shared" si="32"/>
        <v>2.5157763273194398</v>
      </c>
      <c r="D379">
        <f t="shared" si="33"/>
        <v>4.2630922972314353</v>
      </c>
      <c r="E379" s="7">
        <f t="shared" si="34"/>
        <v>3.874414957510544</v>
      </c>
    </row>
    <row r="380" spans="1:5" x14ac:dyDescent="0.25">
      <c r="A380">
        <v>354</v>
      </c>
      <c r="B380">
        <f t="shared" si="31"/>
        <v>152.05058257496083</v>
      </c>
      <c r="C380">
        <f t="shared" si="32"/>
        <v>2.4188613364451728</v>
      </c>
      <c r="D380">
        <f t="shared" si="33"/>
        <v>4.2327358000490811</v>
      </c>
      <c r="E380" s="7">
        <f t="shared" si="34"/>
        <v>3.8216401397267319</v>
      </c>
    </row>
    <row r="381" spans="1:5" x14ac:dyDescent="0.25">
      <c r="A381">
        <v>355</v>
      </c>
      <c r="B381">
        <f t="shared" si="31"/>
        <v>152.90735359780339</v>
      </c>
      <c r="C381">
        <f t="shared" si="32"/>
        <v>2.3219463455709057</v>
      </c>
      <c r="D381">
        <f t="shared" si="33"/>
        <v>4.2036233868609685</v>
      </c>
      <c r="E381" s="7">
        <f t="shared" si="34"/>
        <v>3.7692635300928763</v>
      </c>
    </row>
    <row r="382" spans="1:5" x14ac:dyDescent="0.25">
      <c r="A382">
        <v>356</v>
      </c>
      <c r="B382">
        <f t="shared" si="31"/>
        <v>153.76473829806667</v>
      </c>
      <c r="C382">
        <f t="shared" si="32"/>
        <v>2.2250313546966396</v>
      </c>
      <c r="D382">
        <f t="shared" si="33"/>
        <v>4.1757550576670983</v>
      </c>
      <c r="E382" s="7">
        <f t="shared" si="34"/>
        <v>3.7172694642414914</v>
      </c>
    </row>
    <row r="383" spans="1:5" x14ac:dyDescent="0.25">
      <c r="A383">
        <v>357</v>
      </c>
      <c r="B383">
        <f t="shared" si="31"/>
        <v>154.62272874185479</v>
      </c>
      <c r="C383">
        <f t="shared" si="32"/>
        <v>2.1281163638223726</v>
      </c>
      <c r="D383">
        <f t="shared" si="33"/>
        <v>4.149130812467468</v>
      </c>
      <c r="E383" s="7">
        <f t="shared" si="34"/>
        <v>3.6656422778050888</v>
      </c>
    </row>
    <row r="384" spans="1:5" x14ac:dyDescent="0.25">
      <c r="A384">
        <v>358</v>
      </c>
      <c r="B384">
        <f t="shared" si="31"/>
        <v>155.48131709611323</v>
      </c>
      <c r="C384">
        <f t="shared" si="32"/>
        <v>2.0312013729481055</v>
      </c>
      <c r="D384">
        <f t="shared" si="33"/>
        <v>4.1237506512620792</v>
      </c>
      <c r="E384" s="7">
        <f t="shared" si="34"/>
        <v>3.6143663064161826</v>
      </c>
    </row>
    <row r="385" spans="1:5" x14ac:dyDescent="0.25">
      <c r="A385">
        <v>359</v>
      </c>
      <c r="B385">
        <f t="shared" si="31"/>
        <v>156.34049562744448</v>
      </c>
      <c r="C385">
        <f t="shared" si="32"/>
        <v>1.9342863820738394</v>
      </c>
      <c r="D385">
        <f t="shared" si="33"/>
        <v>4.0996145740509329</v>
      </c>
      <c r="E385" s="7">
        <f t="shared" si="34"/>
        <v>3.5634258857072871</v>
      </c>
    </row>
    <row r="386" spans="1:5" x14ac:dyDescent="0.25">
      <c r="A386">
        <v>360</v>
      </c>
      <c r="B386">
        <f t="shared" si="31"/>
        <v>157.20025670093463</v>
      </c>
      <c r="C386">
        <f t="shared" si="32"/>
        <v>1.8373713911995724</v>
      </c>
      <c r="D386">
        <f t="shared" si="33"/>
        <v>4.0767225808340273</v>
      </c>
      <c r="E386" s="7">
        <f t="shared" si="34"/>
        <v>3.5128053513109139</v>
      </c>
    </row>
    <row r="387" spans="1:5" x14ac:dyDescent="0.25">
      <c r="A387">
        <v>361</v>
      </c>
      <c r="B387">
        <f t="shared" si="31"/>
        <v>158.06059277898939</v>
      </c>
      <c r="C387">
        <f t="shared" si="32"/>
        <v>1.7404564003253054</v>
      </c>
      <c r="D387">
        <f t="shared" si="33"/>
        <v>4.0550746716113624</v>
      </c>
      <c r="E387" s="7">
        <f t="shared" si="34"/>
        <v>3.4624890388595766</v>
      </c>
    </row>
    <row r="388" spans="1:5" x14ac:dyDescent="0.25">
      <c r="A388">
        <v>362</v>
      </c>
      <c r="B388">
        <f t="shared" si="31"/>
        <v>158.92149642018211</v>
      </c>
      <c r="C388">
        <f t="shared" si="32"/>
        <v>1.6435414094510383</v>
      </c>
      <c r="D388">
        <f t="shared" si="33"/>
        <v>4.034670846382939</v>
      </c>
      <c r="E388" s="7">
        <f t="shared" si="34"/>
        <v>3.4124612839857886</v>
      </c>
    </row>
    <row r="389" spans="1:5" x14ac:dyDescent="0.25">
      <c r="A389">
        <v>363</v>
      </c>
      <c r="B389">
        <f t="shared" si="31"/>
        <v>159.7829602781116</v>
      </c>
      <c r="C389">
        <f t="shared" si="32"/>
        <v>1.5466264185767722</v>
      </c>
      <c r="D389">
        <f t="shared" si="33"/>
        <v>4.0155111051487591</v>
      </c>
      <c r="E389" s="7">
        <f t="shared" si="34"/>
        <v>3.3627064223220651</v>
      </c>
    </row>
    <row r="390" spans="1:5" x14ac:dyDescent="0.25">
      <c r="A390">
        <v>364</v>
      </c>
      <c r="B390">
        <f t="shared" si="31"/>
        <v>160.64497710027058</v>
      </c>
      <c r="C390">
        <f t="shared" si="32"/>
        <v>1.4497114277025052</v>
      </c>
      <c r="D390">
        <f t="shared" si="33"/>
        <v>3.997595447908818</v>
      </c>
      <c r="E390" s="7">
        <f t="shared" si="34"/>
        <v>3.3132087895009152</v>
      </c>
    </row>
    <row r="391" spans="1:5" x14ac:dyDescent="0.25">
      <c r="A391">
        <v>365</v>
      </c>
      <c r="B391">
        <f t="shared" si="31"/>
        <v>161.5075397269251</v>
      </c>
      <c r="C391">
        <f t="shared" si="32"/>
        <v>1.3527964368282381</v>
      </c>
      <c r="D391">
        <f t="shared" si="33"/>
        <v>3.980923874663119</v>
      </c>
      <c r="E391" s="7">
        <f t="shared" si="34"/>
        <v>3.2639527211548556</v>
      </c>
    </row>
    <row r="392" spans="1:5" x14ac:dyDescent="0.25">
      <c r="A392">
        <v>366</v>
      </c>
      <c r="B392">
        <f t="shared" si="31"/>
        <v>162.37064109000448</v>
      </c>
      <c r="C392">
        <f t="shared" si="32"/>
        <v>1.255881445953972</v>
      </c>
      <c r="D392">
        <f t="shared" si="33"/>
        <v>3.9654963854116621</v>
      </c>
      <c r="E392" s="7">
        <f t="shared" si="34"/>
        <v>3.2149225529163985</v>
      </c>
    </row>
    <row r="393" spans="1:5" x14ac:dyDescent="0.25">
      <c r="A393">
        <v>367</v>
      </c>
      <c r="B393">
        <f t="shared" si="31"/>
        <v>163.23427421200182</v>
      </c>
      <c r="C393">
        <f t="shared" si="32"/>
        <v>1.158966455079705</v>
      </c>
      <c r="D393">
        <f t="shared" si="33"/>
        <v>3.9513129801544458</v>
      </c>
      <c r="E393" s="7">
        <f t="shared" si="34"/>
        <v>3.1661026204180565</v>
      </c>
    </row>
    <row r="394" spans="1:5" x14ac:dyDescent="0.25">
      <c r="A394">
        <v>368</v>
      </c>
      <c r="B394">
        <f t="shared" si="31"/>
        <v>164.09843220488455</v>
      </c>
      <c r="C394">
        <f t="shared" si="32"/>
        <v>1.0620514642054379</v>
      </c>
      <c r="D394">
        <f t="shared" si="33"/>
        <v>3.9383736588914711</v>
      </c>
      <c r="E394" s="7">
        <f t="shared" si="34"/>
        <v>3.1174772592923436</v>
      </c>
    </row>
    <row r="395" spans="1:5" x14ac:dyDescent="0.25">
      <c r="A395">
        <v>369</v>
      </c>
      <c r="B395">
        <f t="shared" si="31"/>
        <v>164.96310826901683</v>
      </c>
      <c r="C395">
        <f t="shared" si="32"/>
        <v>0.96513647333117092</v>
      </c>
      <c r="D395">
        <f t="shared" si="33"/>
        <v>3.9266784216227371</v>
      </c>
      <c r="E395" s="7">
        <f t="shared" si="34"/>
        <v>3.0690308051717725</v>
      </c>
    </row>
    <row r="396" spans="1:5" x14ac:dyDescent="0.25">
      <c r="A396">
        <v>370</v>
      </c>
      <c r="B396">
        <f t="shared" si="31"/>
        <v>165.8282956920913</v>
      </c>
      <c r="C396">
        <f t="shared" si="32"/>
        <v>0.86822148245690478</v>
      </c>
      <c r="D396">
        <f t="shared" si="33"/>
        <v>3.916227268348246</v>
      </c>
      <c r="E396" s="7">
        <f t="shared" si="34"/>
        <v>3.0207475936888581</v>
      </c>
    </row>
    <row r="397" spans="1:5" x14ac:dyDescent="0.25">
      <c r="A397">
        <v>371</v>
      </c>
      <c r="B397">
        <f t="shared" si="31"/>
        <v>166.69398784807186</v>
      </c>
      <c r="C397">
        <f t="shared" si="32"/>
        <v>0.77130649158263775</v>
      </c>
      <c r="D397">
        <f t="shared" si="33"/>
        <v>3.9070201990679951</v>
      </c>
      <c r="E397" s="7">
        <f t="shared" si="34"/>
        <v>2.9726119604761112</v>
      </c>
    </row>
    <row r="398" spans="1:5" x14ac:dyDescent="0.25">
      <c r="A398">
        <v>372</v>
      </c>
      <c r="B398">
        <f t="shared" si="31"/>
        <v>167.56017819614669</v>
      </c>
      <c r="C398">
        <f t="shared" si="32"/>
        <v>0.67439150070837073</v>
      </c>
      <c r="D398">
        <f t="shared" si="33"/>
        <v>3.8990572137819854</v>
      </c>
      <c r="E398" s="7">
        <f t="shared" si="34"/>
        <v>2.9246082411660459</v>
      </c>
    </row>
    <row r="399" spans="1:5" x14ac:dyDescent="0.25">
      <c r="A399">
        <v>373</v>
      </c>
      <c r="B399">
        <f t="shared" si="31"/>
        <v>168.42686027969259</v>
      </c>
      <c r="C399">
        <f t="shared" si="32"/>
        <v>0.57747650983410459</v>
      </c>
      <c r="D399">
        <f t="shared" si="33"/>
        <v>3.8923383124902182</v>
      </c>
      <c r="E399" s="7">
        <f t="shared" si="34"/>
        <v>2.8767207713911773</v>
      </c>
    </row>
    <row r="400" spans="1:5" x14ac:dyDescent="0.25">
      <c r="A400">
        <v>374</v>
      </c>
      <c r="B400">
        <f t="shared" si="31"/>
        <v>169.29402772524838</v>
      </c>
      <c r="C400">
        <f t="shared" si="32"/>
        <v>0.48056151895983756</v>
      </c>
      <c r="D400">
        <f t="shared" si="33"/>
        <v>3.8868634951926913</v>
      </c>
      <c r="E400" s="7">
        <f t="shared" si="34"/>
        <v>2.8289338867840153</v>
      </c>
    </row>
    <row r="401" spans="1:5" x14ac:dyDescent="0.25">
      <c r="A401">
        <v>375</v>
      </c>
      <c r="B401">
        <f t="shared" si="31"/>
        <v>170.16167424149987</v>
      </c>
      <c r="C401">
        <f t="shared" si="32"/>
        <v>0.38364652808557054</v>
      </c>
      <c r="D401">
        <f t="shared" si="33"/>
        <v>3.8826327618894059</v>
      </c>
      <c r="E401" s="7">
        <f t="shared" si="34"/>
        <v>2.7812319229770752</v>
      </c>
    </row>
    <row r="402" spans="1:5" x14ac:dyDescent="0.25">
      <c r="A402">
        <v>376</v>
      </c>
      <c r="B402">
        <f t="shared" si="31"/>
        <v>171.0297936182746</v>
      </c>
      <c r="C402">
        <f t="shared" si="32"/>
        <v>0.28673153721130351</v>
      </c>
      <c r="D402">
        <f t="shared" si="33"/>
        <v>3.8796461125803621</v>
      </c>
      <c r="E402" s="7">
        <f t="shared" si="34"/>
        <v>2.7335992156028706</v>
      </c>
    </row>
    <row r="403" spans="1:5" x14ac:dyDescent="0.25">
      <c r="A403">
        <v>377</v>
      </c>
      <c r="B403">
        <f t="shared" si="31"/>
        <v>171.8983797255469</v>
      </c>
      <c r="C403">
        <f t="shared" si="32"/>
        <v>0.18981654633703737</v>
      </c>
      <c r="D403">
        <f t="shared" si="33"/>
        <v>3.8779035472655603</v>
      </c>
      <c r="E403" s="7">
        <f t="shared" si="34"/>
        <v>2.6860201002939146</v>
      </c>
    </row>
    <row r="404" spans="1:5" x14ac:dyDescent="0.25">
      <c r="A404">
        <v>378</v>
      </c>
      <c r="B404">
        <f t="shared" si="31"/>
        <v>172.76742651245416</v>
      </c>
      <c r="C404">
        <f t="shared" si="32"/>
        <v>9.2901555462770347E-2</v>
      </c>
      <c r="D404">
        <f t="shared" si="33"/>
        <v>3.8774050659449988</v>
      </c>
      <c r="E404" s="7">
        <f t="shared" si="34"/>
        <v>2.6384789126827188</v>
      </c>
    </row>
    <row r="405" spans="1:5" x14ac:dyDescent="0.25">
      <c r="A405">
        <v>379</v>
      </c>
      <c r="B405">
        <f t="shared" si="31"/>
        <v>173.63692800632148</v>
      </c>
      <c r="C405">
        <f t="shared" si="32"/>
        <v>-4.0134354114966797E-3</v>
      </c>
      <c r="D405">
        <f t="shared" si="33"/>
        <v>3.8781506686186789</v>
      </c>
      <c r="E405" s="7">
        <f t="shared" si="34"/>
        <v>2.5909599884017984</v>
      </c>
    </row>
    <row r="406" spans="1:5" x14ac:dyDescent="0.25">
      <c r="A406">
        <v>380</v>
      </c>
      <c r="B406">
        <f t="shared" si="31"/>
        <v>174.50687831169861</v>
      </c>
      <c r="C406">
        <f t="shared" si="32"/>
        <v>-0.10092842628576371</v>
      </c>
      <c r="D406">
        <f t="shared" si="33"/>
        <v>3.8801403552866001</v>
      </c>
      <c r="E406" s="7">
        <f t="shared" si="34"/>
        <v>2.5434476630836649</v>
      </c>
    </row>
    <row r="407" spans="1:5" x14ac:dyDescent="0.25">
      <c r="A407">
        <v>381</v>
      </c>
      <c r="B407">
        <f t="shared" si="31"/>
        <v>175.37727160940551</v>
      </c>
      <c r="C407">
        <f t="shared" si="32"/>
        <v>-0.19784341716002984</v>
      </c>
      <c r="D407">
        <f t="shared" si="33"/>
        <v>3.8833741259487642</v>
      </c>
      <c r="E407" s="7">
        <f t="shared" si="34"/>
        <v>2.4959262723608351</v>
      </c>
    </row>
    <row r="408" spans="1:5" x14ac:dyDescent="0.25">
      <c r="A408">
        <v>382</v>
      </c>
      <c r="B408">
        <f t="shared" si="31"/>
        <v>176.24810215558861</v>
      </c>
      <c r="C408">
        <f t="shared" si="32"/>
        <v>-0.29475840803429687</v>
      </c>
      <c r="D408">
        <f t="shared" si="33"/>
        <v>3.8878519806051681</v>
      </c>
      <c r="E408" s="7">
        <f t="shared" si="34"/>
        <v>2.448380151865817</v>
      </c>
    </row>
    <row r="409" spans="1:5" x14ac:dyDescent="0.25">
      <c r="A409">
        <v>383</v>
      </c>
      <c r="B409">
        <f t="shared" si="31"/>
        <v>177.11936428078724</v>
      </c>
      <c r="C409">
        <f t="shared" si="32"/>
        <v>-0.3916733989085639</v>
      </c>
      <c r="D409">
        <f t="shared" si="33"/>
        <v>3.8935739192558136</v>
      </c>
      <c r="E409" s="7">
        <f t="shared" si="34"/>
        <v>2.4007936372311267</v>
      </c>
    </row>
    <row r="410" spans="1:5" x14ac:dyDescent="0.25">
      <c r="A410">
        <v>384</v>
      </c>
      <c r="B410">
        <f t="shared" si="31"/>
        <v>177.99105238900981</v>
      </c>
      <c r="C410">
        <f t="shared" si="32"/>
        <v>-0.48858838978283003</v>
      </c>
      <c r="D410">
        <f t="shared" si="33"/>
        <v>3.9005399419007007</v>
      </c>
      <c r="E410" s="7">
        <f t="shared" si="34"/>
        <v>2.3531510640892783</v>
      </c>
    </row>
    <row r="411" spans="1:5" x14ac:dyDescent="0.25">
      <c r="A411">
        <v>385</v>
      </c>
      <c r="B411">
        <f t="shared" si="31"/>
        <v>178.86316095681977</v>
      </c>
      <c r="C411">
        <f t="shared" si="32"/>
        <v>-0.58550338065709795</v>
      </c>
      <c r="D411">
        <f t="shared" si="33"/>
        <v>3.9087500485398285</v>
      </c>
      <c r="E411" s="7">
        <f t="shared" si="34"/>
        <v>2.3054367680727825</v>
      </c>
    </row>
    <row r="412" spans="1:5" x14ac:dyDescent="0.25">
      <c r="A412">
        <v>386</v>
      </c>
      <c r="B412">
        <f t="shared" ref="B412:B475" si="35">black_scholes_price($A412,$B$2,$B$3,$B$4,$B$5,$B$6,A$26)</f>
        <v>179.73568453243203</v>
      </c>
      <c r="C412">
        <f t="shared" ref="C412:C475" si="36">$C$10+$C$13*(A412-$B$1)</f>
        <v>-0.68241837153136409</v>
      </c>
      <c r="D412">
        <f t="shared" ref="D412:D475" si="37">C412+0.5*$C$14*(A412-$B$1)^2</f>
        <v>3.9182042391731988</v>
      </c>
      <c r="E412" s="7">
        <f t="shared" ref="E412:E475" si="38">D412+$C$19*(A412-$B$1)^3/6</f>
        <v>2.2576350848141562</v>
      </c>
    </row>
    <row r="413" spans="1:5" x14ac:dyDescent="0.25">
      <c r="A413">
        <v>387</v>
      </c>
      <c r="B413">
        <f t="shared" si="35"/>
        <v>180.60861773481847</v>
      </c>
      <c r="C413">
        <f t="shared" si="36"/>
        <v>-0.77933336240563023</v>
      </c>
      <c r="D413">
        <f t="shared" si="37"/>
        <v>3.9289025138008107</v>
      </c>
      <c r="E413" s="7">
        <f t="shared" si="38"/>
        <v>2.20973034994591</v>
      </c>
    </row>
    <row r="414" spans="1:5" x14ac:dyDescent="0.25">
      <c r="A414">
        <v>388</v>
      </c>
      <c r="B414">
        <f t="shared" si="35"/>
        <v>181.48195525282381</v>
      </c>
      <c r="C414">
        <f t="shared" si="36"/>
        <v>-0.87624835327989814</v>
      </c>
      <c r="D414">
        <f t="shared" si="37"/>
        <v>3.9408448724226623</v>
      </c>
      <c r="E414" s="7">
        <f t="shared" si="38"/>
        <v>2.1617068991005564</v>
      </c>
    </row>
    <row r="415" spans="1:5" x14ac:dyDescent="0.25">
      <c r="A415">
        <v>389</v>
      </c>
      <c r="B415">
        <f t="shared" si="35"/>
        <v>182.35569184429093</v>
      </c>
      <c r="C415">
        <f t="shared" si="36"/>
        <v>-0.97316334415416428</v>
      </c>
      <c r="D415">
        <f t="shared" si="37"/>
        <v>3.9540313150387565</v>
      </c>
      <c r="E415" s="7">
        <f t="shared" si="38"/>
        <v>2.1135490679106104</v>
      </c>
    </row>
    <row r="416" spans="1:5" x14ac:dyDescent="0.25">
      <c r="A416">
        <v>390</v>
      </c>
      <c r="B416">
        <f t="shared" si="35"/>
        <v>183.22982233519568</v>
      </c>
      <c r="C416">
        <f t="shared" si="36"/>
        <v>-1.0700783350284304</v>
      </c>
      <c r="D416">
        <f t="shared" si="37"/>
        <v>3.9684618416490922</v>
      </c>
      <c r="E416" s="7">
        <f t="shared" si="38"/>
        <v>2.0652411920085854</v>
      </c>
    </row>
    <row r="417" spans="1:5" x14ac:dyDescent="0.25">
      <c r="A417">
        <v>391</v>
      </c>
      <c r="B417">
        <f t="shared" si="35"/>
        <v>184.10434161879158</v>
      </c>
      <c r="C417">
        <f t="shared" si="36"/>
        <v>-1.1669933259026983</v>
      </c>
      <c r="D417">
        <f t="shared" si="37"/>
        <v>3.9841364522536677</v>
      </c>
      <c r="E417" s="7">
        <f t="shared" si="38"/>
        <v>2.016767607026992</v>
      </c>
    </row>
    <row r="418" spans="1:5" x14ac:dyDescent="0.25">
      <c r="A418">
        <v>392</v>
      </c>
      <c r="B418">
        <f t="shared" si="35"/>
        <v>184.97924465476376</v>
      </c>
      <c r="C418">
        <f t="shared" si="36"/>
        <v>-1.2639083167769645</v>
      </c>
      <c r="D418">
        <f t="shared" si="37"/>
        <v>4.0010551468524866</v>
      </c>
      <c r="E418" s="7">
        <f t="shared" si="38"/>
        <v>1.968112648598348</v>
      </c>
    </row>
    <row r="419" spans="1:5" x14ac:dyDescent="0.25">
      <c r="A419">
        <v>393</v>
      </c>
      <c r="B419">
        <f t="shared" si="35"/>
        <v>185.85452646839283</v>
      </c>
      <c r="C419">
        <f t="shared" si="36"/>
        <v>-1.3608233076512306</v>
      </c>
      <c r="D419">
        <f t="shared" si="37"/>
        <v>4.0192179254455471</v>
      </c>
      <c r="E419" s="7">
        <f t="shared" si="38"/>
        <v>1.9192606523551641</v>
      </c>
    </row>
    <row r="420" spans="1:5" x14ac:dyDescent="0.25">
      <c r="A420">
        <v>394</v>
      </c>
      <c r="B420">
        <f t="shared" si="35"/>
        <v>186.73018214972706</v>
      </c>
      <c r="C420">
        <f t="shared" si="36"/>
        <v>-1.4577382985254985</v>
      </c>
      <c r="D420">
        <f t="shared" si="37"/>
        <v>4.0386247880328465</v>
      </c>
      <c r="E420" s="7">
        <f t="shared" si="38"/>
        <v>1.8701959539299513</v>
      </c>
    </row>
    <row r="421" spans="1:5" x14ac:dyDescent="0.25">
      <c r="A421">
        <v>395</v>
      </c>
      <c r="B421">
        <f t="shared" si="35"/>
        <v>187.60620685276513</v>
      </c>
      <c r="C421">
        <f t="shared" si="36"/>
        <v>-1.5546532893997647</v>
      </c>
      <c r="D421">
        <f t="shared" si="37"/>
        <v>4.0592757346143893</v>
      </c>
      <c r="E421" s="7">
        <f t="shared" si="38"/>
        <v>1.8209028889552266</v>
      </c>
    </row>
    <row r="422" spans="1:5" x14ac:dyDescent="0.25">
      <c r="A422">
        <v>396</v>
      </c>
      <c r="B422">
        <f t="shared" si="35"/>
        <v>188.48259579464761</v>
      </c>
      <c r="C422">
        <f t="shared" si="36"/>
        <v>-1.6515682802740308</v>
      </c>
      <c r="D422">
        <f t="shared" si="37"/>
        <v>4.0811707651901727</v>
      </c>
      <c r="E422" s="7">
        <f t="shared" si="38"/>
        <v>1.7713657930635014</v>
      </c>
    </row>
    <row r="423" spans="1:5" x14ac:dyDescent="0.25">
      <c r="A423">
        <v>397</v>
      </c>
      <c r="B423">
        <f t="shared" si="35"/>
        <v>189.35934425485709</v>
      </c>
      <c r="C423">
        <f t="shared" si="36"/>
        <v>-1.7484832711482987</v>
      </c>
      <c r="D423">
        <f t="shared" si="37"/>
        <v>4.1043098797601969</v>
      </c>
      <c r="E423" s="7">
        <f t="shared" si="38"/>
        <v>1.7215690018872882</v>
      </c>
    </row>
    <row r="424" spans="1:5" x14ac:dyDescent="0.25">
      <c r="A424">
        <v>398</v>
      </c>
      <c r="B424">
        <f t="shared" si="35"/>
        <v>190.23644757442838</v>
      </c>
      <c r="C424">
        <f t="shared" si="36"/>
        <v>-1.8453982620225649</v>
      </c>
      <c r="D424">
        <f t="shared" si="37"/>
        <v>4.1286930783244635</v>
      </c>
      <c r="E424" s="7">
        <f t="shared" si="38"/>
        <v>1.6714968510591031</v>
      </c>
    </row>
    <row r="425" spans="1:5" x14ac:dyDescent="0.25">
      <c r="A425">
        <v>399</v>
      </c>
      <c r="B425">
        <f t="shared" si="35"/>
        <v>191.11390115516704</v>
      </c>
      <c r="C425">
        <f t="shared" si="36"/>
        <v>-1.9423132528968328</v>
      </c>
      <c r="D425">
        <f t="shared" si="37"/>
        <v>4.15432036088297</v>
      </c>
      <c r="E425" s="7">
        <f t="shared" si="38"/>
        <v>1.6211336762114552</v>
      </c>
    </row>
    <row r="426" spans="1:5" x14ac:dyDescent="0.25">
      <c r="A426">
        <v>400</v>
      </c>
      <c r="B426">
        <f t="shared" si="35"/>
        <v>191.99170045887703</v>
      </c>
      <c r="C426">
        <f t="shared" si="36"/>
        <v>-2.0392282437710989</v>
      </c>
      <c r="D426">
        <f t="shared" si="37"/>
        <v>4.1811917274357198</v>
      </c>
      <c r="E426" s="7">
        <f t="shared" si="38"/>
        <v>1.5704638129768624</v>
      </c>
    </row>
    <row r="427" spans="1:5" x14ac:dyDescent="0.25">
      <c r="A427">
        <v>401</v>
      </c>
      <c r="B427">
        <f t="shared" si="35"/>
        <v>192.86984100659748</v>
      </c>
      <c r="C427">
        <f t="shared" si="36"/>
        <v>-2.136143234645365</v>
      </c>
      <c r="D427">
        <f t="shared" si="37"/>
        <v>4.2093071779827103</v>
      </c>
      <c r="E427" s="7">
        <f t="shared" si="38"/>
        <v>1.519471596987835</v>
      </c>
    </row>
    <row r="428" spans="1:5" x14ac:dyDescent="0.25">
      <c r="A428">
        <v>402</v>
      </c>
      <c r="B428">
        <f t="shared" si="35"/>
        <v>193.74831837784819</v>
      </c>
      <c r="C428">
        <f t="shared" si="36"/>
        <v>-2.233058225519633</v>
      </c>
      <c r="D428">
        <f t="shared" si="37"/>
        <v>4.2386667125239414</v>
      </c>
      <c r="E428" s="7">
        <f t="shared" si="38"/>
        <v>1.4681413638768865</v>
      </c>
    </row>
    <row r="429" spans="1:5" x14ac:dyDescent="0.25">
      <c r="A429">
        <v>403</v>
      </c>
      <c r="B429">
        <f t="shared" si="35"/>
        <v>194.62712820988338</v>
      </c>
      <c r="C429">
        <f t="shared" si="36"/>
        <v>-2.3299732163938991</v>
      </c>
      <c r="D429">
        <f t="shared" si="37"/>
        <v>4.2692703310594151</v>
      </c>
      <c r="E429" s="7">
        <f t="shared" si="38"/>
        <v>1.4164574492765314</v>
      </c>
    </row>
    <row r="430" spans="1:5" x14ac:dyDescent="0.25">
      <c r="A430">
        <v>404</v>
      </c>
      <c r="B430">
        <f t="shared" si="35"/>
        <v>195.50626619695515</v>
      </c>
      <c r="C430">
        <f t="shared" si="36"/>
        <v>-2.4268882072681652</v>
      </c>
      <c r="D430">
        <f t="shared" si="37"/>
        <v>4.3011180335891295</v>
      </c>
      <c r="E430" s="7">
        <f t="shared" si="38"/>
        <v>1.3644041888192815</v>
      </c>
    </row>
    <row r="431" spans="1:5" x14ac:dyDescent="0.25">
      <c r="A431">
        <v>405</v>
      </c>
      <c r="B431">
        <f t="shared" si="35"/>
        <v>196.38572808958449</v>
      </c>
      <c r="C431">
        <f t="shared" si="36"/>
        <v>-2.5238031981424331</v>
      </c>
      <c r="D431">
        <f t="shared" si="37"/>
        <v>4.3342098201130845</v>
      </c>
      <c r="E431" s="7">
        <f t="shared" si="38"/>
        <v>1.3119659181376502</v>
      </c>
    </row>
    <row r="432" spans="1:5" x14ac:dyDescent="0.25">
      <c r="A432">
        <v>406</v>
      </c>
      <c r="B432">
        <f t="shared" si="35"/>
        <v>197.26550969384158</v>
      </c>
      <c r="C432">
        <f t="shared" si="36"/>
        <v>-2.6207181890166993</v>
      </c>
      <c r="D432">
        <f t="shared" si="37"/>
        <v>4.3685456906312821</v>
      </c>
      <c r="E432" s="7">
        <f t="shared" si="38"/>
        <v>1.2591269728641517</v>
      </c>
    </row>
    <row r="433" spans="1:5" x14ac:dyDescent="0.25">
      <c r="A433">
        <v>407</v>
      </c>
      <c r="B433">
        <f t="shared" si="35"/>
        <v>198.14560687063377</v>
      </c>
      <c r="C433">
        <f t="shared" si="36"/>
        <v>-2.7176331798909654</v>
      </c>
      <c r="D433">
        <f t="shared" si="37"/>
        <v>4.4041256451437212</v>
      </c>
      <c r="E433" s="7">
        <f t="shared" si="38"/>
        <v>1.2058716886312992</v>
      </c>
    </row>
    <row r="434" spans="1:5" x14ac:dyDescent="0.25">
      <c r="A434">
        <v>408</v>
      </c>
      <c r="B434">
        <f t="shared" si="35"/>
        <v>199.02601553500293</v>
      </c>
      <c r="C434">
        <f t="shared" si="36"/>
        <v>-2.8145481707652333</v>
      </c>
      <c r="D434">
        <f t="shared" si="37"/>
        <v>4.4409496836504001</v>
      </c>
      <c r="E434" s="7">
        <f t="shared" si="38"/>
        <v>1.1521844010716045</v>
      </c>
    </row>
    <row r="435" spans="1:5" x14ac:dyDescent="0.25">
      <c r="A435">
        <v>409</v>
      </c>
      <c r="B435">
        <f t="shared" si="35"/>
        <v>199.90673165543055</v>
      </c>
      <c r="C435">
        <f t="shared" si="36"/>
        <v>-2.9114631616394995</v>
      </c>
      <c r="D435">
        <f t="shared" si="37"/>
        <v>4.4790178061513215</v>
      </c>
      <c r="E435" s="7">
        <f t="shared" si="38"/>
        <v>1.098049445817582</v>
      </c>
    </row>
    <row r="436" spans="1:5" x14ac:dyDescent="0.25">
      <c r="A436">
        <v>410</v>
      </c>
      <c r="B436">
        <f t="shared" si="35"/>
        <v>200.78775125315059</v>
      </c>
      <c r="C436">
        <f t="shared" si="36"/>
        <v>-3.0083781525137674</v>
      </c>
      <c r="D436">
        <f t="shared" si="37"/>
        <v>4.5183300126464827</v>
      </c>
      <c r="E436" s="7">
        <f t="shared" si="38"/>
        <v>1.0434511585017439</v>
      </c>
    </row>
    <row r="437" spans="1:5" x14ac:dyDescent="0.25">
      <c r="A437">
        <v>411</v>
      </c>
      <c r="B437">
        <f t="shared" si="35"/>
        <v>201.6690704014718</v>
      </c>
      <c r="C437">
        <f t="shared" si="36"/>
        <v>-3.1052931433880335</v>
      </c>
      <c r="D437">
        <f t="shared" si="37"/>
        <v>4.5588863031358873</v>
      </c>
      <c r="E437" s="7">
        <f t="shared" si="38"/>
        <v>0.98837387475660599</v>
      </c>
    </row>
    <row r="438" spans="1:5" x14ac:dyDescent="0.25">
      <c r="A438">
        <v>412</v>
      </c>
      <c r="B438">
        <f t="shared" si="35"/>
        <v>202.55068522510641</v>
      </c>
      <c r="C438">
        <f t="shared" si="36"/>
        <v>-3.2022081342622997</v>
      </c>
      <c r="D438">
        <f t="shared" si="37"/>
        <v>4.6006866776195334</v>
      </c>
      <c r="E438" s="7">
        <f t="shared" si="38"/>
        <v>0.93280193021467994</v>
      </c>
    </row>
    <row r="439" spans="1:5" x14ac:dyDescent="0.25">
      <c r="A439">
        <v>413</v>
      </c>
      <c r="B439">
        <f t="shared" si="35"/>
        <v>203.43259189950868</v>
      </c>
      <c r="C439">
        <f t="shared" si="36"/>
        <v>-3.2991231251365676</v>
      </c>
      <c r="D439">
        <f t="shared" si="37"/>
        <v>4.6437311360974194</v>
      </c>
      <c r="E439" s="7">
        <f t="shared" si="38"/>
        <v>0.87671966050847816</v>
      </c>
    </row>
    <row r="440" spans="1:5" x14ac:dyDescent="0.25">
      <c r="A440">
        <v>414</v>
      </c>
      <c r="B440">
        <f t="shared" si="35"/>
        <v>204.31478665022001</v>
      </c>
      <c r="C440">
        <f t="shared" si="36"/>
        <v>-3.3960381160108337</v>
      </c>
      <c r="D440">
        <f t="shared" si="37"/>
        <v>4.6880196785695478</v>
      </c>
      <c r="E440" s="7">
        <f t="shared" si="38"/>
        <v>0.82011140127051485</v>
      </c>
    </row>
    <row r="441" spans="1:5" x14ac:dyDescent="0.25">
      <c r="A441">
        <v>415</v>
      </c>
      <c r="B441">
        <f t="shared" si="35"/>
        <v>205.19726575222231</v>
      </c>
      <c r="C441">
        <f t="shared" si="36"/>
        <v>-3.4929531068850999</v>
      </c>
      <c r="D441">
        <f t="shared" si="37"/>
        <v>4.7335523050359178</v>
      </c>
      <c r="E441" s="7">
        <f t="shared" si="38"/>
        <v>0.76296148813330333</v>
      </c>
    </row>
    <row r="442" spans="1:5" x14ac:dyDescent="0.25">
      <c r="A442">
        <v>416</v>
      </c>
      <c r="B442">
        <f t="shared" si="35"/>
        <v>206.08002552929926</v>
      </c>
      <c r="C442">
        <f t="shared" si="36"/>
        <v>-3.5898680977593678</v>
      </c>
      <c r="D442">
        <f t="shared" si="37"/>
        <v>4.7803290154965268</v>
      </c>
      <c r="E442" s="7">
        <f t="shared" si="38"/>
        <v>0.70525425672935427</v>
      </c>
    </row>
    <row r="443" spans="1:5" x14ac:dyDescent="0.25">
      <c r="A443">
        <v>417</v>
      </c>
      <c r="B443">
        <f t="shared" si="35"/>
        <v>206.96306235340555</v>
      </c>
      <c r="C443">
        <f t="shared" si="36"/>
        <v>-3.6867830886336339</v>
      </c>
      <c r="D443">
        <f t="shared" si="37"/>
        <v>4.82834980995138</v>
      </c>
      <c r="E443" s="7">
        <f t="shared" si="38"/>
        <v>0.64697404269118675</v>
      </c>
    </row>
    <row r="444" spans="1:5" x14ac:dyDescent="0.25">
      <c r="A444">
        <v>418</v>
      </c>
      <c r="B444">
        <f t="shared" si="35"/>
        <v>207.84637264404307</v>
      </c>
      <c r="C444">
        <f t="shared" si="36"/>
        <v>-3.7836980795079</v>
      </c>
      <c r="D444">
        <f t="shared" si="37"/>
        <v>4.8776146884004739</v>
      </c>
      <c r="E444" s="7">
        <f t="shared" si="38"/>
        <v>0.58810518165130876</v>
      </c>
    </row>
    <row r="445" spans="1:5" x14ac:dyDescent="0.25">
      <c r="A445">
        <v>419</v>
      </c>
      <c r="B445">
        <f t="shared" si="35"/>
        <v>208.72995286764535</v>
      </c>
      <c r="C445">
        <f t="shared" si="36"/>
        <v>-3.880613070382168</v>
      </c>
      <c r="D445">
        <f t="shared" si="37"/>
        <v>4.9281236508438084</v>
      </c>
      <c r="E445" s="7">
        <f t="shared" si="38"/>
        <v>0.52863200924223541</v>
      </c>
    </row>
    <row r="446" spans="1:5" x14ac:dyDescent="0.25">
      <c r="A446">
        <v>420</v>
      </c>
      <c r="B446">
        <f t="shared" si="35"/>
        <v>209.6137995369688</v>
      </c>
      <c r="C446">
        <f t="shared" si="36"/>
        <v>-3.9775280612564341</v>
      </c>
      <c r="D446">
        <f t="shared" si="37"/>
        <v>4.9798766972813855</v>
      </c>
      <c r="E446" s="7">
        <f t="shared" si="38"/>
        <v>0.46853886109648002</v>
      </c>
    </row>
    <row r="447" spans="1:5" x14ac:dyDescent="0.25">
      <c r="A447">
        <v>421</v>
      </c>
      <c r="B447">
        <f t="shared" si="35"/>
        <v>210.49790921049203</v>
      </c>
      <c r="C447">
        <f t="shared" si="36"/>
        <v>-4.0744430521307002</v>
      </c>
      <c r="D447">
        <f t="shared" si="37"/>
        <v>5.0328738277132032</v>
      </c>
      <c r="E447" s="7">
        <f t="shared" si="38"/>
        <v>0.4078100728465559</v>
      </c>
    </row>
    <row r="448" spans="1:5" x14ac:dyDescent="0.25">
      <c r="A448">
        <v>422</v>
      </c>
      <c r="B448">
        <f t="shared" si="35"/>
        <v>211.38227849182249</v>
      </c>
      <c r="C448">
        <f t="shared" si="36"/>
        <v>-4.1713580430049682</v>
      </c>
      <c r="D448">
        <f t="shared" si="37"/>
        <v>5.0871150421392599</v>
      </c>
      <c r="E448" s="7">
        <f t="shared" si="38"/>
        <v>0.34642998012497284</v>
      </c>
    </row>
    <row r="449" spans="1:5" x14ac:dyDescent="0.25">
      <c r="A449">
        <v>423</v>
      </c>
      <c r="B449">
        <f t="shared" si="35"/>
        <v>212.26690402910953</v>
      </c>
      <c r="C449">
        <f t="shared" si="36"/>
        <v>-4.2682730338792343</v>
      </c>
      <c r="D449">
        <f t="shared" si="37"/>
        <v>5.1426003405595608</v>
      </c>
      <c r="E449" s="7">
        <f t="shared" si="38"/>
        <v>0.28438291856425035</v>
      </c>
    </row>
    <row r="450" spans="1:5" x14ac:dyDescent="0.25">
      <c r="A450">
        <v>424</v>
      </c>
      <c r="B450">
        <f t="shared" si="35"/>
        <v>213.15178251446568</v>
      </c>
      <c r="C450">
        <f t="shared" si="36"/>
        <v>-4.3651880247535022</v>
      </c>
      <c r="D450">
        <f t="shared" si="37"/>
        <v>5.1993297229741025</v>
      </c>
      <c r="E450" s="7">
        <f t="shared" si="38"/>
        <v>0.22165322379689822</v>
      </c>
    </row>
    <row r="451" spans="1:5" x14ac:dyDescent="0.25">
      <c r="A451">
        <v>425</v>
      </c>
      <c r="B451">
        <f t="shared" si="35"/>
        <v>214.03691068339447</v>
      </c>
      <c r="C451">
        <f t="shared" si="36"/>
        <v>-4.4621030156277683</v>
      </c>
      <c r="D451">
        <f t="shared" si="37"/>
        <v>5.2573031893828865</v>
      </c>
      <c r="E451" s="7">
        <f t="shared" si="38"/>
        <v>0.15822523145543155</v>
      </c>
    </row>
    <row r="452" spans="1:5" x14ac:dyDescent="0.25">
      <c r="A452">
        <v>426</v>
      </c>
      <c r="B452">
        <f t="shared" si="35"/>
        <v>214.92228531422532</v>
      </c>
      <c r="C452">
        <f t="shared" si="36"/>
        <v>-4.5590180065020345</v>
      </c>
      <c r="D452">
        <f t="shared" si="37"/>
        <v>5.3165207397859113</v>
      </c>
      <c r="E452" s="7">
        <f t="shared" si="38"/>
        <v>9.4083277172360091E-2</v>
      </c>
    </row>
    <row r="453" spans="1:5" x14ac:dyDescent="0.25">
      <c r="A453">
        <v>427</v>
      </c>
      <c r="B453">
        <f t="shared" si="35"/>
        <v>215.8079032275561</v>
      </c>
      <c r="C453">
        <f t="shared" si="36"/>
        <v>-4.6559329973763024</v>
      </c>
      <c r="D453">
        <f t="shared" si="37"/>
        <v>5.376982374183175</v>
      </c>
      <c r="E453" s="7">
        <f t="shared" si="38"/>
        <v>2.9211696580198065E-2</v>
      </c>
    </row>
    <row r="454" spans="1:5" x14ac:dyDescent="0.25">
      <c r="A454">
        <v>428</v>
      </c>
      <c r="B454">
        <f t="shared" si="35"/>
        <v>216.69376128570119</v>
      </c>
      <c r="C454">
        <f t="shared" si="36"/>
        <v>-4.7528479882505685</v>
      </c>
      <c r="D454">
        <f t="shared" si="37"/>
        <v>5.438688092574683</v>
      </c>
      <c r="E454" s="7">
        <f t="shared" si="38"/>
        <v>-3.6405174688538544E-2</v>
      </c>
    </row>
    <row r="455" spans="1:5" x14ac:dyDescent="0.25">
      <c r="A455">
        <v>429</v>
      </c>
      <c r="B455">
        <f t="shared" si="35"/>
        <v>217.57985639214803</v>
      </c>
      <c r="C455">
        <f t="shared" si="36"/>
        <v>-4.8497629791248347</v>
      </c>
      <c r="D455">
        <f t="shared" si="37"/>
        <v>5.5016378949604317</v>
      </c>
      <c r="E455" s="7">
        <f t="shared" si="38"/>
        <v>-0.10278300100133819</v>
      </c>
    </row>
    <row r="456" spans="1:5" x14ac:dyDescent="0.25">
      <c r="A456">
        <v>430</v>
      </c>
      <c r="B456">
        <f t="shared" si="35"/>
        <v>218.46618549101893</v>
      </c>
      <c r="C456">
        <f t="shared" si="36"/>
        <v>-4.9466779699991026</v>
      </c>
      <c r="D456">
        <f t="shared" si="37"/>
        <v>5.565831781340421</v>
      </c>
      <c r="E456" s="7">
        <f t="shared" si="38"/>
        <v>-0.16993744672568756</v>
      </c>
    </row>
    <row r="457" spans="1:5" x14ac:dyDescent="0.25">
      <c r="A457">
        <v>431</v>
      </c>
      <c r="B457">
        <f t="shared" si="35"/>
        <v>219.3527455665407</v>
      </c>
      <c r="C457">
        <f t="shared" si="36"/>
        <v>-5.0435929608733687</v>
      </c>
      <c r="D457">
        <f t="shared" si="37"/>
        <v>5.6312697517146528</v>
      </c>
      <c r="E457" s="7">
        <f t="shared" si="38"/>
        <v>-0.23788417622907421</v>
      </c>
    </row>
    <row r="458" spans="1:5" x14ac:dyDescent="0.25">
      <c r="A458">
        <v>432</v>
      </c>
      <c r="B458">
        <f t="shared" si="35"/>
        <v>220.23953364252046</v>
      </c>
      <c r="C458">
        <f t="shared" si="36"/>
        <v>-5.1405079517476349</v>
      </c>
      <c r="D458">
        <f t="shared" si="37"/>
        <v>5.6979518060831253</v>
      </c>
      <c r="E458" s="7">
        <f t="shared" si="38"/>
        <v>-0.30663885387898304</v>
      </c>
    </row>
    <row r="459" spans="1:5" x14ac:dyDescent="0.25">
      <c r="A459">
        <v>433</v>
      </c>
      <c r="B459">
        <f t="shared" si="35"/>
        <v>221.12654678182756</v>
      </c>
      <c r="C459">
        <f t="shared" si="36"/>
        <v>-5.2374229426219028</v>
      </c>
      <c r="D459">
        <f t="shared" si="37"/>
        <v>5.7658779444458386</v>
      </c>
      <c r="E459" s="7">
        <f t="shared" si="38"/>
        <v>-0.37621714404290341</v>
      </c>
    </row>
    <row r="460" spans="1:5" x14ac:dyDescent="0.25">
      <c r="A460">
        <v>434</v>
      </c>
      <c r="B460">
        <f t="shared" si="35"/>
        <v>222.01378208588281</v>
      </c>
      <c r="C460">
        <f t="shared" si="36"/>
        <v>-5.3343379334961689</v>
      </c>
      <c r="D460">
        <f t="shared" si="37"/>
        <v>5.8350481668027943</v>
      </c>
      <c r="E460" s="7">
        <f t="shared" si="38"/>
        <v>-0.4466347110883202</v>
      </c>
    </row>
    <row r="461" spans="1:5" x14ac:dyDescent="0.25">
      <c r="A461">
        <v>435</v>
      </c>
      <c r="B461">
        <f t="shared" si="35"/>
        <v>222.90123669415382</v>
      </c>
      <c r="C461">
        <f t="shared" si="36"/>
        <v>-5.4312529243704368</v>
      </c>
      <c r="D461">
        <f t="shared" si="37"/>
        <v>5.9054624731539906</v>
      </c>
      <c r="E461" s="7">
        <f t="shared" si="38"/>
        <v>-0.51790721938272011</v>
      </c>
    </row>
    <row r="462" spans="1:5" x14ac:dyDescent="0.25">
      <c r="A462">
        <v>436</v>
      </c>
      <c r="B462">
        <f t="shared" si="35"/>
        <v>223.78890778365607</v>
      </c>
      <c r="C462">
        <f t="shared" si="36"/>
        <v>-5.528167915244703</v>
      </c>
      <c r="D462">
        <f t="shared" si="37"/>
        <v>5.9771208634994295</v>
      </c>
      <c r="E462" s="7">
        <f t="shared" si="38"/>
        <v>-0.5900503332935898</v>
      </c>
    </row>
    <row r="463" spans="1:5" x14ac:dyDescent="0.25">
      <c r="A463">
        <v>437</v>
      </c>
      <c r="B463">
        <f t="shared" si="35"/>
        <v>224.67679256846117</v>
      </c>
      <c r="C463">
        <f t="shared" si="36"/>
        <v>-5.6250829061189691</v>
      </c>
      <c r="D463">
        <f t="shared" si="37"/>
        <v>6.0500233378391091</v>
      </c>
      <c r="E463" s="7">
        <f t="shared" si="38"/>
        <v>-0.66307971718841596</v>
      </c>
    </row>
    <row r="464" spans="1:5" x14ac:dyDescent="0.25">
      <c r="A464">
        <v>438</v>
      </c>
      <c r="B464">
        <f t="shared" si="35"/>
        <v>225.56488829921062</v>
      </c>
      <c r="C464">
        <f t="shared" si="36"/>
        <v>-5.721997896993237</v>
      </c>
      <c r="D464">
        <f t="shared" si="37"/>
        <v>6.1241698961730275</v>
      </c>
      <c r="E464" s="7">
        <f t="shared" si="38"/>
        <v>-0.73701103543468971</v>
      </c>
    </row>
    <row r="465" spans="1:5" x14ac:dyDescent="0.25">
      <c r="A465">
        <v>439</v>
      </c>
      <c r="B465">
        <f t="shared" si="35"/>
        <v>226.45319226263621</v>
      </c>
      <c r="C465">
        <f t="shared" si="36"/>
        <v>-5.8189128878675032</v>
      </c>
      <c r="D465">
        <f t="shared" si="37"/>
        <v>6.1995605385011903</v>
      </c>
      <c r="E465" s="7">
        <f t="shared" si="38"/>
        <v>-0.8118599523998915</v>
      </c>
    </row>
    <row r="466" spans="1:5" x14ac:dyDescent="0.25">
      <c r="A466">
        <v>440</v>
      </c>
      <c r="B466">
        <f t="shared" si="35"/>
        <v>227.34170178108619</v>
      </c>
      <c r="C466">
        <f t="shared" si="36"/>
        <v>-5.9158278787417693</v>
      </c>
      <c r="D466">
        <f t="shared" si="37"/>
        <v>6.2761952648235955</v>
      </c>
      <c r="E466" s="7">
        <f t="shared" si="38"/>
        <v>-0.88764213245150803</v>
      </c>
    </row>
    <row r="467" spans="1:5" x14ac:dyDescent="0.25">
      <c r="A467">
        <v>441</v>
      </c>
      <c r="B467">
        <f t="shared" si="35"/>
        <v>228.23041421205738</v>
      </c>
      <c r="C467">
        <f t="shared" si="36"/>
        <v>-6.0127428696160372</v>
      </c>
      <c r="D467">
        <f t="shared" si="37"/>
        <v>6.3540740751402396</v>
      </c>
      <c r="E467" s="7">
        <f t="shared" si="38"/>
        <v>-0.96437323995703306</v>
      </c>
    </row>
    <row r="468" spans="1:5" x14ac:dyDescent="0.25">
      <c r="A468">
        <v>442</v>
      </c>
      <c r="B468">
        <f t="shared" si="35"/>
        <v>229.11932694773344</v>
      </c>
      <c r="C468">
        <f t="shared" si="36"/>
        <v>-6.1096578604903033</v>
      </c>
      <c r="D468">
        <f t="shared" si="37"/>
        <v>6.4331969694511262</v>
      </c>
      <c r="E468" s="7">
        <f t="shared" si="38"/>
        <v>-1.0420689392839462</v>
      </c>
    </row>
    <row r="469" spans="1:5" x14ac:dyDescent="0.25">
      <c r="A469">
        <v>443</v>
      </c>
      <c r="B469">
        <f t="shared" si="35"/>
        <v>230.00843741452886</v>
      </c>
      <c r="C469">
        <f t="shared" si="36"/>
        <v>-6.2065728513645695</v>
      </c>
      <c r="D469">
        <f t="shared" si="37"/>
        <v>6.5135639477562535</v>
      </c>
      <c r="E469" s="7">
        <f t="shared" si="38"/>
        <v>-1.1207448947997385</v>
      </c>
    </row>
    <row r="470" spans="1:5" x14ac:dyDescent="0.25">
      <c r="A470">
        <v>444</v>
      </c>
      <c r="B470">
        <f t="shared" si="35"/>
        <v>230.89774307263863</v>
      </c>
      <c r="C470">
        <f t="shared" si="36"/>
        <v>-6.3034878422388374</v>
      </c>
      <c r="D470">
        <f t="shared" si="37"/>
        <v>6.5951750100556215</v>
      </c>
      <c r="E470" s="7">
        <f t="shared" si="38"/>
        <v>-1.2004167708718949</v>
      </c>
    </row>
    <row r="471" spans="1:5" x14ac:dyDescent="0.25">
      <c r="A471">
        <v>445</v>
      </c>
      <c r="B471">
        <f t="shared" si="35"/>
        <v>231.78724141559408</v>
      </c>
      <c r="C471">
        <f t="shared" si="36"/>
        <v>-6.4004028331131035</v>
      </c>
      <c r="D471">
        <f t="shared" si="37"/>
        <v>6.6780301563492319</v>
      </c>
      <c r="E471" s="7">
        <f t="shared" si="38"/>
        <v>-1.2811002318679012</v>
      </c>
    </row>
    <row r="472" spans="1:5" x14ac:dyDescent="0.25">
      <c r="A472">
        <v>446</v>
      </c>
      <c r="B472">
        <f t="shared" si="35"/>
        <v>232.67692996982399</v>
      </c>
      <c r="C472">
        <f t="shared" si="36"/>
        <v>-6.4973178239873697</v>
      </c>
      <c r="D472">
        <f t="shared" si="37"/>
        <v>6.7621293866370848</v>
      </c>
      <c r="E472" s="7">
        <f t="shared" si="38"/>
        <v>-1.3628109421552441</v>
      </c>
    </row>
    <row r="473" spans="1:5" x14ac:dyDescent="0.25">
      <c r="A473">
        <v>447</v>
      </c>
      <c r="B473">
        <f t="shared" si="35"/>
        <v>233.56680629422092</v>
      </c>
      <c r="C473">
        <f t="shared" si="36"/>
        <v>-6.5942328148616376</v>
      </c>
      <c r="D473">
        <f t="shared" si="37"/>
        <v>6.8474727009191767</v>
      </c>
      <c r="E473" s="7">
        <f t="shared" si="38"/>
        <v>-1.4455645661014156</v>
      </c>
    </row>
    <row r="474" spans="1:5" x14ac:dyDescent="0.25">
      <c r="A474">
        <v>448</v>
      </c>
      <c r="B474">
        <f t="shared" si="35"/>
        <v>234.45686797971442</v>
      </c>
      <c r="C474">
        <f t="shared" si="36"/>
        <v>-6.6911478057359037</v>
      </c>
      <c r="D474">
        <f t="shared" si="37"/>
        <v>6.934060099195511</v>
      </c>
      <c r="E474" s="7">
        <f t="shared" si="38"/>
        <v>-1.529376768073897</v>
      </c>
    </row>
    <row r="475" spans="1:5" x14ac:dyDescent="0.25">
      <c r="A475">
        <v>449</v>
      </c>
      <c r="B475">
        <f t="shared" si="35"/>
        <v>235.34711264884808</v>
      </c>
      <c r="C475">
        <f t="shared" si="36"/>
        <v>-6.7880627966101716</v>
      </c>
      <c r="D475">
        <f t="shared" si="37"/>
        <v>7.0218915814660861</v>
      </c>
      <c r="E475" s="7">
        <f t="shared" si="38"/>
        <v>-1.6142632124401768</v>
      </c>
    </row>
    <row r="476" spans="1:5" x14ac:dyDescent="0.25">
      <c r="A476">
        <v>450</v>
      </c>
      <c r="B476">
        <f t="shared" ref="B476:B539" si="39">black_scholes_price($A476,$B$2,$B$3,$B$4,$B$5,$B$6,A$26)</f>
        <v>236.23753795536334</v>
      </c>
      <c r="C476">
        <f t="shared" ref="C476:C539" si="40">$C$10+$C$13*(A476-$B$1)</f>
        <v>-6.8849777874844378</v>
      </c>
      <c r="D476">
        <f t="shared" ref="D476:D539" si="41">C476+0.5*$C$14*(A476-$B$1)^2</f>
        <v>7.1109671477309035</v>
      </c>
      <c r="E476" s="7">
        <f t="shared" ref="E476:E539" si="42">D476+$C$19*(A476-$B$1)^3/6</f>
        <v>-1.7002395635677399</v>
      </c>
    </row>
    <row r="477" spans="1:5" x14ac:dyDescent="0.25">
      <c r="A477">
        <v>451</v>
      </c>
      <c r="B477">
        <f t="shared" si="39"/>
        <v>237.12814158378748</v>
      </c>
      <c r="C477">
        <f t="shared" si="40"/>
        <v>-6.9818927783587039</v>
      </c>
      <c r="D477">
        <f t="shared" si="41"/>
        <v>7.2012867979899635</v>
      </c>
      <c r="E477" s="7">
        <f t="shared" si="42"/>
        <v>-1.7873214858240729</v>
      </c>
    </row>
    <row r="478" spans="1:5" x14ac:dyDescent="0.25">
      <c r="A478">
        <v>452</v>
      </c>
      <c r="B478">
        <f t="shared" si="39"/>
        <v>238.01892124902798</v>
      </c>
      <c r="C478">
        <f t="shared" si="40"/>
        <v>-7.0788077692329718</v>
      </c>
      <c r="D478">
        <f t="shared" si="41"/>
        <v>7.2928505322432624</v>
      </c>
      <c r="E478" s="7">
        <f t="shared" si="42"/>
        <v>-1.8755246435766679</v>
      </c>
    </row>
    <row r="479" spans="1:5" x14ac:dyDescent="0.25">
      <c r="A479">
        <v>453</v>
      </c>
      <c r="B479">
        <f t="shared" si="39"/>
        <v>238.90987469597133</v>
      </c>
      <c r="C479">
        <f t="shared" si="40"/>
        <v>-7.175722760107238</v>
      </c>
      <c r="D479">
        <f t="shared" si="41"/>
        <v>7.3856583504908038</v>
      </c>
      <c r="E479" s="7">
        <f t="shared" si="42"/>
        <v>-1.9648647011930063</v>
      </c>
    </row>
    <row r="480" spans="1:5" x14ac:dyDescent="0.25">
      <c r="A480">
        <v>454</v>
      </c>
      <c r="B480">
        <f t="shared" si="39"/>
        <v>239.8009996990873</v>
      </c>
      <c r="C480">
        <f t="shared" si="40"/>
        <v>-7.2726377509815041</v>
      </c>
      <c r="D480">
        <f t="shared" si="41"/>
        <v>7.4797102527325876</v>
      </c>
      <c r="E480" s="7">
        <f t="shared" si="42"/>
        <v>-2.0553573230405764</v>
      </c>
    </row>
    <row r="481" spans="1:5" x14ac:dyDescent="0.25">
      <c r="A481">
        <v>455</v>
      </c>
      <c r="B481">
        <f t="shared" si="39"/>
        <v>240.69229406203837</v>
      </c>
      <c r="C481">
        <f t="shared" si="40"/>
        <v>-7.369552741855772</v>
      </c>
      <c r="D481">
        <f t="shared" si="41"/>
        <v>7.5750062389686104</v>
      </c>
      <c r="E481" s="7">
        <f t="shared" si="42"/>
        <v>-2.1470181734868667</v>
      </c>
    </row>
    <row r="482" spans="1:5" x14ac:dyDescent="0.25">
      <c r="A482">
        <v>456</v>
      </c>
      <c r="B482">
        <f t="shared" si="39"/>
        <v>241.58375561729412</v>
      </c>
      <c r="C482">
        <f t="shared" si="40"/>
        <v>-7.4664677327300382</v>
      </c>
      <c r="D482">
        <f t="shared" si="41"/>
        <v>7.6715463091988756</v>
      </c>
      <c r="E482" s="7">
        <f t="shared" si="42"/>
        <v>-2.2398629168993622</v>
      </c>
    </row>
    <row r="483" spans="1:5" x14ac:dyDescent="0.25">
      <c r="A483">
        <v>457</v>
      </c>
      <c r="B483">
        <f t="shared" si="39"/>
        <v>242.47538222575034</v>
      </c>
      <c r="C483">
        <f t="shared" si="40"/>
        <v>-7.5633827236043043</v>
      </c>
      <c r="D483">
        <f t="shared" si="41"/>
        <v>7.7693304634233833</v>
      </c>
      <c r="E483" s="7">
        <f t="shared" si="42"/>
        <v>-2.3339072176455478</v>
      </c>
    </row>
    <row r="484" spans="1:5" x14ac:dyDescent="0.25">
      <c r="A484">
        <v>458</v>
      </c>
      <c r="B484">
        <f t="shared" si="39"/>
        <v>243.36717177635381</v>
      </c>
      <c r="C484">
        <f t="shared" si="40"/>
        <v>-7.6602977144785722</v>
      </c>
      <c r="D484">
        <f t="shared" si="41"/>
        <v>7.8683587016421299</v>
      </c>
      <c r="E484" s="7">
        <f t="shared" si="42"/>
        <v>-2.4291667400929136</v>
      </c>
    </row>
    <row r="485" spans="1:5" x14ac:dyDescent="0.25">
      <c r="A485">
        <v>459</v>
      </c>
      <c r="B485">
        <f t="shared" si="39"/>
        <v>244.25912218573077</v>
      </c>
      <c r="C485">
        <f t="shared" si="40"/>
        <v>-7.7572127053528384</v>
      </c>
      <c r="D485">
        <f t="shared" si="41"/>
        <v>7.968631023855119</v>
      </c>
      <c r="E485" s="7">
        <f t="shared" si="42"/>
        <v>-2.5256571486089463</v>
      </c>
    </row>
    <row r="486" spans="1:5" x14ac:dyDescent="0.25">
      <c r="A486">
        <v>460</v>
      </c>
      <c r="B486">
        <f t="shared" si="39"/>
        <v>245.15123139782168</v>
      </c>
      <c r="C486">
        <f t="shared" si="40"/>
        <v>-7.8541276962271063</v>
      </c>
      <c r="D486">
        <f t="shared" si="41"/>
        <v>8.0701474300623488</v>
      </c>
      <c r="E486" s="7">
        <f t="shared" si="42"/>
        <v>-2.6233941075611309</v>
      </c>
    </row>
    <row r="487" spans="1:5" x14ac:dyDescent="0.25">
      <c r="A487">
        <v>461</v>
      </c>
      <c r="B487">
        <f t="shared" si="39"/>
        <v>246.0434973835192</v>
      </c>
      <c r="C487">
        <f t="shared" si="40"/>
        <v>-7.9510426871013724</v>
      </c>
      <c r="D487">
        <f t="shared" si="41"/>
        <v>8.1729079202638228</v>
      </c>
      <c r="E487" s="7">
        <f t="shared" si="42"/>
        <v>-2.7223932813169505</v>
      </c>
    </row>
    <row r="488" spans="1:5" x14ac:dyDescent="0.25">
      <c r="A488">
        <v>462</v>
      </c>
      <c r="B488">
        <f t="shared" si="39"/>
        <v>246.93591814031188</v>
      </c>
      <c r="C488">
        <f t="shared" si="40"/>
        <v>-8.0479576779756385</v>
      </c>
      <c r="D488">
        <f t="shared" si="41"/>
        <v>8.2769124944595376</v>
      </c>
      <c r="E488" s="7">
        <f t="shared" si="42"/>
        <v>-2.822670334243897</v>
      </c>
    </row>
    <row r="489" spans="1:5" x14ac:dyDescent="0.25">
      <c r="A489">
        <v>463</v>
      </c>
      <c r="B489">
        <f t="shared" si="39"/>
        <v>247.82849169193247</v>
      </c>
      <c r="C489">
        <f t="shared" si="40"/>
        <v>-8.1448726688499065</v>
      </c>
      <c r="D489">
        <f t="shared" si="41"/>
        <v>8.3821611526494912</v>
      </c>
      <c r="E489" s="7">
        <f t="shared" si="42"/>
        <v>-2.9242409307094608</v>
      </c>
    </row>
    <row r="490" spans="1:5" x14ac:dyDescent="0.25">
      <c r="A490">
        <v>464</v>
      </c>
      <c r="B490">
        <f t="shared" si="39"/>
        <v>248.7212160880099</v>
      </c>
      <c r="C490">
        <f t="shared" si="40"/>
        <v>-8.2417876597241726</v>
      </c>
      <c r="D490">
        <f t="shared" si="41"/>
        <v>8.4886538948336874</v>
      </c>
      <c r="E490" s="7">
        <f t="shared" si="42"/>
        <v>-3.0271207350811213</v>
      </c>
    </row>
    <row r="491" spans="1:5" x14ac:dyDescent="0.25">
      <c r="A491">
        <v>465</v>
      </c>
      <c r="B491">
        <f t="shared" si="39"/>
        <v>249.61408940372698</v>
      </c>
      <c r="C491">
        <f t="shared" si="40"/>
        <v>-8.3387026505984387</v>
      </c>
      <c r="D491">
        <f t="shared" si="41"/>
        <v>8.5963907210121242</v>
      </c>
      <c r="E491" s="7">
        <f t="shared" si="42"/>
        <v>-3.1313254117263689</v>
      </c>
    </row>
    <row r="492" spans="1:5" x14ac:dyDescent="0.25">
      <c r="A492">
        <v>466</v>
      </c>
      <c r="B492">
        <f t="shared" si="39"/>
        <v>250.50710973948179</v>
      </c>
      <c r="C492">
        <f t="shared" si="40"/>
        <v>-8.4356176414727067</v>
      </c>
      <c r="D492">
        <f t="shared" si="41"/>
        <v>8.7053716311848035</v>
      </c>
      <c r="E492" s="7">
        <f t="shared" si="42"/>
        <v>-3.2368706250126902</v>
      </c>
    </row>
    <row r="493" spans="1:5" x14ac:dyDescent="0.25">
      <c r="A493">
        <v>467</v>
      </c>
      <c r="B493">
        <f t="shared" si="39"/>
        <v>251.40027522055354</v>
      </c>
      <c r="C493">
        <f t="shared" si="40"/>
        <v>-8.5325326323469746</v>
      </c>
      <c r="D493">
        <f t="shared" si="41"/>
        <v>8.81559662535172</v>
      </c>
      <c r="E493" s="7">
        <f t="shared" si="42"/>
        <v>-3.3437720393075718</v>
      </c>
    </row>
    <row r="494" spans="1:5" x14ac:dyDescent="0.25">
      <c r="A494">
        <v>468</v>
      </c>
      <c r="B494">
        <f t="shared" si="39"/>
        <v>252.29358399677329</v>
      </c>
      <c r="C494">
        <f t="shared" si="40"/>
        <v>-8.6294476232212389</v>
      </c>
      <c r="D494">
        <f t="shared" si="41"/>
        <v>8.9270657035128842</v>
      </c>
      <c r="E494" s="7">
        <f t="shared" si="42"/>
        <v>-3.4520453189784952</v>
      </c>
    </row>
    <row r="495" spans="1:5" x14ac:dyDescent="0.25">
      <c r="A495">
        <v>469</v>
      </c>
      <c r="B495">
        <f t="shared" si="39"/>
        <v>253.18703424219825</v>
      </c>
      <c r="C495">
        <f t="shared" si="40"/>
        <v>-8.7263626140955068</v>
      </c>
      <c r="D495">
        <f t="shared" si="41"/>
        <v>9.0397788656682891</v>
      </c>
      <c r="E495" s="7">
        <f t="shared" si="42"/>
        <v>-3.5617061283929541</v>
      </c>
    </row>
    <row r="496" spans="1:5" x14ac:dyDescent="0.25">
      <c r="A496">
        <v>470</v>
      </c>
      <c r="B496">
        <f t="shared" si="39"/>
        <v>254.08062415479105</v>
      </c>
      <c r="C496">
        <f t="shared" si="40"/>
        <v>-8.8232776049697748</v>
      </c>
      <c r="D496">
        <f t="shared" si="41"/>
        <v>9.1537361118179312</v>
      </c>
      <c r="E496" s="7">
        <f t="shared" si="42"/>
        <v>-3.6727701319184352</v>
      </c>
    </row>
    <row r="497" spans="1:5" x14ac:dyDescent="0.25">
      <c r="A497">
        <v>471</v>
      </c>
      <c r="B497">
        <f t="shared" si="39"/>
        <v>254.97435195610259</v>
      </c>
      <c r="C497">
        <f t="shared" si="40"/>
        <v>-8.9201925958440391</v>
      </c>
      <c r="D497">
        <f t="shared" si="41"/>
        <v>9.2689374419618176</v>
      </c>
      <c r="E497" s="7">
        <f t="shared" si="42"/>
        <v>-3.7852529939224198</v>
      </c>
    </row>
    <row r="498" spans="1:5" x14ac:dyDescent="0.25">
      <c r="A498">
        <v>472</v>
      </c>
      <c r="B498">
        <f t="shared" si="39"/>
        <v>255.8682158909595</v>
      </c>
      <c r="C498">
        <f t="shared" si="40"/>
        <v>-9.017107586718307</v>
      </c>
      <c r="D498">
        <f t="shared" si="41"/>
        <v>9.3853828560999446</v>
      </c>
      <c r="E498" s="7">
        <f t="shared" si="42"/>
        <v>-3.8991703787723981</v>
      </c>
    </row>
    <row r="499" spans="1:5" x14ac:dyDescent="0.25">
      <c r="A499">
        <v>473</v>
      </c>
      <c r="B499">
        <f t="shared" si="39"/>
        <v>256.76221422715577</v>
      </c>
      <c r="C499">
        <f t="shared" si="40"/>
        <v>-9.1140225775925749</v>
      </c>
      <c r="D499">
        <f t="shared" si="41"/>
        <v>9.5030723542323123</v>
      </c>
      <c r="E499" s="7">
        <f t="shared" si="42"/>
        <v>-4.014537950835857</v>
      </c>
    </row>
    <row r="500" spans="1:5" x14ac:dyDescent="0.25">
      <c r="A500">
        <v>474</v>
      </c>
      <c r="B500">
        <f t="shared" si="39"/>
        <v>257.65634525514747</v>
      </c>
      <c r="C500">
        <f t="shared" si="40"/>
        <v>-9.2109375684668393</v>
      </c>
      <c r="D500">
        <f t="shared" si="41"/>
        <v>9.6220059363589243</v>
      </c>
      <c r="E500" s="7">
        <f t="shared" si="42"/>
        <v>-4.1313713744802811</v>
      </c>
    </row>
    <row r="501" spans="1:5" x14ac:dyDescent="0.25">
      <c r="A501">
        <v>475</v>
      </c>
      <c r="B501">
        <f t="shared" si="39"/>
        <v>258.55060728775288</v>
      </c>
      <c r="C501">
        <f t="shared" si="40"/>
        <v>-9.3078525593411072</v>
      </c>
      <c r="D501">
        <f t="shared" si="41"/>
        <v>9.7421836024797734</v>
      </c>
      <c r="E501" s="7">
        <f t="shared" si="42"/>
        <v>-4.2496863140731644</v>
      </c>
    </row>
    <row r="502" spans="1:5" x14ac:dyDescent="0.25">
      <c r="A502">
        <v>476</v>
      </c>
      <c r="B502">
        <f t="shared" si="39"/>
        <v>259.44499865985563</v>
      </c>
      <c r="C502">
        <f t="shared" si="40"/>
        <v>-9.4047675502153751</v>
      </c>
      <c r="D502">
        <f t="shared" si="41"/>
        <v>9.8636053525948668</v>
      </c>
      <c r="E502" s="7">
        <f t="shared" si="42"/>
        <v>-4.3694984339819829</v>
      </c>
    </row>
    <row r="503" spans="1:5" x14ac:dyDescent="0.25">
      <c r="A503">
        <v>477</v>
      </c>
      <c r="B503">
        <f t="shared" si="39"/>
        <v>260.3395177281119</v>
      </c>
      <c r="C503">
        <f t="shared" si="40"/>
        <v>-9.5016825410896395</v>
      </c>
      <c r="D503">
        <f t="shared" si="41"/>
        <v>9.9862711867042009</v>
      </c>
      <c r="E503" s="7">
        <f t="shared" si="42"/>
        <v>-4.4908233985742303</v>
      </c>
    </row>
    <row r="504" spans="1:5" x14ac:dyDescent="0.25">
      <c r="A504">
        <v>478</v>
      </c>
      <c r="B504">
        <f t="shared" si="39"/>
        <v>261.23416287066175</v>
      </c>
      <c r="C504">
        <f t="shared" si="40"/>
        <v>-9.5985975319639074</v>
      </c>
      <c r="D504">
        <f t="shared" si="41"/>
        <v>10.110181104807776</v>
      </c>
      <c r="E504" s="7">
        <f t="shared" si="42"/>
        <v>-4.6136768722173933</v>
      </c>
    </row>
    <row r="505" spans="1:5" x14ac:dyDescent="0.25">
      <c r="A505">
        <v>479</v>
      </c>
      <c r="B505">
        <f t="shared" si="39"/>
        <v>262.12893248684372</v>
      </c>
      <c r="C505">
        <f t="shared" si="40"/>
        <v>-9.6955125228381753</v>
      </c>
      <c r="D505">
        <f t="shared" si="41"/>
        <v>10.235335106905591</v>
      </c>
      <c r="E505" s="7">
        <f t="shared" si="42"/>
        <v>-4.7380745192789568</v>
      </c>
    </row>
    <row r="506" spans="1:5" x14ac:dyDescent="0.25">
      <c r="A506">
        <v>480</v>
      </c>
      <c r="B506">
        <f t="shared" si="39"/>
        <v>263.02382499691396</v>
      </c>
      <c r="C506">
        <f t="shared" si="40"/>
        <v>-9.7924275137124397</v>
      </c>
      <c r="D506">
        <f t="shared" si="41"/>
        <v>10.361733192997651</v>
      </c>
      <c r="E506" s="7">
        <f t="shared" si="42"/>
        <v>-4.864032004126404</v>
      </c>
    </row>
    <row r="507" spans="1:5" x14ac:dyDescent="0.25">
      <c r="A507">
        <v>481</v>
      </c>
      <c r="B507">
        <f t="shared" si="39"/>
        <v>263.91883884176843</v>
      </c>
      <c r="C507">
        <f t="shared" si="40"/>
        <v>-9.8893425045867076</v>
      </c>
      <c r="D507">
        <f t="shared" si="41"/>
        <v>10.489375363083951</v>
      </c>
      <c r="E507" s="7">
        <f t="shared" si="42"/>
        <v>-4.9915649911272268</v>
      </c>
    </row>
    <row r="508" spans="1:5" x14ac:dyDescent="0.25">
      <c r="A508">
        <v>482</v>
      </c>
      <c r="B508">
        <f t="shared" si="39"/>
        <v>264.81397248266865</v>
      </c>
      <c r="C508">
        <f t="shared" si="40"/>
        <v>-9.9862574954609755</v>
      </c>
      <c r="D508">
        <f t="shared" si="41"/>
        <v>10.618261617164489</v>
      </c>
      <c r="E508" s="7">
        <f t="shared" si="42"/>
        <v>-5.1206891446489156</v>
      </c>
    </row>
    <row r="509" spans="1:5" x14ac:dyDescent="0.25">
      <c r="A509">
        <v>483</v>
      </c>
      <c r="B509">
        <f t="shared" si="39"/>
        <v>265.70922440097195</v>
      </c>
      <c r="C509">
        <f t="shared" si="40"/>
        <v>-10.08317248633524</v>
      </c>
      <c r="D509">
        <f t="shared" si="41"/>
        <v>10.748391955239274</v>
      </c>
      <c r="E509" s="7">
        <f t="shared" si="42"/>
        <v>-5.2514201290589444</v>
      </c>
    </row>
    <row r="510" spans="1:5" x14ac:dyDescent="0.25">
      <c r="A510">
        <v>484</v>
      </c>
      <c r="B510">
        <f t="shared" si="39"/>
        <v>266.60459309786449</v>
      </c>
      <c r="C510">
        <f t="shared" si="40"/>
        <v>-10.180087477209508</v>
      </c>
      <c r="D510">
        <f t="shared" si="41"/>
        <v>10.879766377308297</v>
      </c>
      <c r="E510" s="7">
        <f t="shared" si="42"/>
        <v>-5.3837736087248125</v>
      </c>
    </row>
    <row r="511" spans="1:5" x14ac:dyDescent="0.25">
      <c r="A511">
        <v>485</v>
      </c>
      <c r="B511">
        <f t="shared" si="39"/>
        <v>267.50007709409772</v>
      </c>
      <c r="C511">
        <f t="shared" si="40"/>
        <v>-10.277002468083776</v>
      </c>
      <c r="D511">
        <f t="shared" si="41"/>
        <v>11.01238488337156</v>
      </c>
      <c r="E511" s="7">
        <f t="shared" si="42"/>
        <v>-5.5177652480140011</v>
      </c>
    </row>
    <row r="512" spans="1:5" x14ac:dyDescent="0.25">
      <c r="A512">
        <v>486</v>
      </c>
      <c r="B512">
        <f t="shared" si="39"/>
        <v>268.39567492972913</v>
      </c>
      <c r="C512">
        <f t="shared" si="40"/>
        <v>-10.37391745895804</v>
      </c>
      <c r="D512">
        <f t="shared" si="41"/>
        <v>11.146247473429071</v>
      </c>
      <c r="E512" s="7">
        <f t="shared" si="42"/>
        <v>-5.6534107112939935</v>
      </c>
    </row>
    <row r="513" spans="1:5" x14ac:dyDescent="0.25">
      <c r="A513">
        <v>487</v>
      </c>
      <c r="B513">
        <f t="shared" si="39"/>
        <v>269.2913851638657</v>
      </c>
      <c r="C513">
        <f t="shared" si="40"/>
        <v>-10.470832449832308</v>
      </c>
      <c r="D513">
        <f t="shared" si="41"/>
        <v>11.281354147480815</v>
      </c>
      <c r="E513" s="7">
        <f t="shared" si="42"/>
        <v>-5.7907256629322887</v>
      </c>
    </row>
    <row r="514" spans="1:5" x14ac:dyDescent="0.25">
      <c r="A514">
        <v>488</v>
      </c>
      <c r="B514">
        <f t="shared" si="39"/>
        <v>270.18720637441083</v>
      </c>
      <c r="C514">
        <f t="shared" si="40"/>
        <v>-10.567747440706576</v>
      </c>
      <c r="D514">
        <f t="shared" si="41"/>
        <v>11.417704905526804</v>
      </c>
      <c r="E514" s="7">
        <f t="shared" si="42"/>
        <v>-5.9297257672963575</v>
      </c>
    </row>
    <row r="515" spans="1:5" x14ac:dyDescent="0.25">
      <c r="A515">
        <v>489</v>
      </c>
      <c r="B515">
        <f t="shared" si="39"/>
        <v>271.08313715781526</v>
      </c>
      <c r="C515">
        <f t="shared" si="40"/>
        <v>-10.66466243158084</v>
      </c>
      <c r="D515">
        <f t="shared" si="41"/>
        <v>11.555299747567037</v>
      </c>
      <c r="E515" s="7">
        <f t="shared" si="42"/>
        <v>-6.0704266887536988</v>
      </c>
    </row>
    <row r="516" spans="1:5" x14ac:dyDescent="0.25">
      <c r="A516">
        <v>490</v>
      </c>
      <c r="B516">
        <f t="shared" si="39"/>
        <v>271.97917612882998</v>
      </c>
      <c r="C516">
        <f t="shared" si="40"/>
        <v>-10.761577422455108</v>
      </c>
      <c r="D516">
        <f t="shared" si="41"/>
        <v>11.694138673601508</v>
      </c>
      <c r="E516" s="7">
        <f t="shared" si="42"/>
        <v>-6.2128440916717942</v>
      </c>
    </row>
    <row r="517" spans="1:5" x14ac:dyDescent="0.25">
      <c r="A517">
        <v>491</v>
      </c>
      <c r="B517">
        <f t="shared" si="39"/>
        <v>272.87532192026424</v>
      </c>
      <c r="C517">
        <f t="shared" si="40"/>
        <v>-10.858492413329376</v>
      </c>
      <c r="D517">
        <f t="shared" si="41"/>
        <v>11.834221683630219</v>
      </c>
      <c r="E517" s="7">
        <f t="shared" si="42"/>
        <v>-6.356993640418132</v>
      </c>
    </row>
    <row r="518" spans="1:5" x14ac:dyDescent="0.25">
      <c r="A518">
        <v>492</v>
      </c>
      <c r="B518">
        <f t="shared" si="39"/>
        <v>273.7715731827451</v>
      </c>
      <c r="C518">
        <f t="shared" si="40"/>
        <v>-10.95540740420364</v>
      </c>
      <c r="D518">
        <f t="shared" si="41"/>
        <v>11.975548777653174</v>
      </c>
      <c r="E518" s="7">
        <f t="shared" si="42"/>
        <v>-6.5028909993601971</v>
      </c>
    </row>
    <row r="519" spans="1:5" x14ac:dyDescent="0.25">
      <c r="A519">
        <v>493</v>
      </c>
      <c r="B519">
        <f t="shared" si="39"/>
        <v>274.66792858448088</v>
      </c>
      <c r="C519">
        <f t="shared" si="40"/>
        <v>-11.052322395077908</v>
      </c>
      <c r="D519">
        <f t="shared" si="41"/>
        <v>12.11811995567037</v>
      </c>
      <c r="E519" s="7">
        <f t="shared" si="42"/>
        <v>-6.650551832865478</v>
      </c>
    </row>
    <row r="520" spans="1:5" x14ac:dyDescent="0.25">
      <c r="A520">
        <v>494</v>
      </c>
      <c r="B520">
        <f t="shared" si="39"/>
        <v>275.5643868110281</v>
      </c>
      <c r="C520">
        <f t="shared" si="40"/>
        <v>-11.149237385952176</v>
      </c>
      <c r="D520">
        <f t="shared" si="41"/>
        <v>12.261935217681806</v>
      </c>
      <c r="E520" s="7">
        <f t="shared" si="42"/>
        <v>-6.7999918053014632</v>
      </c>
    </row>
    <row r="521" spans="1:5" x14ac:dyDescent="0.25">
      <c r="A521">
        <v>495</v>
      </c>
      <c r="B521">
        <f t="shared" si="39"/>
        <v>276.46094656506079</v>
      </c>
      <c r="C521">
        <f t="shared" si="40"/>
        <v>-11.246152376826444</v>
      </c>
      <c r="D521">
        <f t="shared" si="41"/>
        <v>12.406994563687483</v>
      </c>
      <c r="E521" s="7">
        <f t="shared" si="42"/>
        <v>-6.9512265810356375</v>
      </c>
    </row>
    <row r="522" spans="1:5" x14ac:dyDescent="0.25">
      <c r="A522">
        <v>496</v>
      </c>
      <c r="B522">
        <f t="shared" si="39"/>
        <v>277.3576065661432</v>
      </c>
      <c r="C522">
        <f t="shared" si="40"/>
        <v>-11.343067367700709</v>
      </c>
      <c r="D522">
        <f t="shared" si="41"/>
        <v>12.553297993687405</v>
      </c>
      <c r="E522" s="7">
        <f t="shared" si="42"/>
        <v>-7.1042718244354788</v>
      </c>
    </row>
    <row r="523" spans="1:5" x14ac:dyDescent="0.25">
      <c r="A523">
        <v>497</v>
      </c>
      <c r="B523">
        <f t="shared" si="39"/>
        <v>278.25436555050578</v>
      </c>
      <c r="C523">
        <f t="shared" si="40"/>
        <v>-11.439982358574976</v>
      </c>
      <c r="D523">
        <f t="shared" si="41"/>
        <v>12.700845507681567</v>
      </c>
      <c r="E523" s="7">
        <f t="shared" si="42"/>
        <v>-7.2591431998684897</v>
      </c>
    </row>
    <row r="524" spans="1:5" x14ac:dyDescent="0.25">
      <c r="A524">
        <v>498</v>
      </c>
      <c r="B524">
        <f t="shared" si="39"/>
        <v>279.15122227082361</v>
      </c>
      <c r="C524">
        <f t="shared" si="40"/>
        <v>-11.536897349449244</v>
      </c>
      <c r="D524">
        <f t="shared" si="41"/>
        <v>12.849637105669967</v>
      </c>
      <c r="E524" s="7">
        <f t="shared" si="42"/>
        <v>-7.4158563717021515</v>
      </c>
    </row>
    <row r="525" spans="1:5" x14ac:dyDescent="0.25">
      <c r="A525">
        <v>499</v>
      </c>
      <c r="B525">
        <f t="shared" si="39"/>
        <v>280.04817549599824</v>
      </c>
      <c r="C525">
        <f t="shared" si="40"/>
        <v>-11.633812340323509</v>
      </c>
      <c r="D525">
        <f t="shared" si="41"/>
        <v>12.999672787652614</v>
      </c>
      <c r="E525" s="7">
        <f t="shared" si="42"/>
        <v>-7.5744270043039421</v>
      </c>
    </row>
    <row r="526" spans="1:5" x14ac:dyDescent="0.25">
      <c r="A526">
        <v>500</v>
      </c>
      <c r="B526">
        <f t="shared" si="39"/>
        <v>280.94522401094235</v>
      </c>
      <c r="C526">
        <f t="shared" si="40"/>
        <v>-11.730727331197777</v>
      </c>
      <c r="D526">
        <f t="shared" si="41"/>
        <v>13.150952553629498</v>
      </c>
      <c r="E526" s="7">
        <f t="shared" si="42"/>
        <v>-7.7348707620413606</v>
      </c>
    </row>
    <row r="527" spans="1:5" x14ac:dyDescent="0.25">
      <c r="A527">
        <v>501</v>
      </c>
      <c r="B527">
        <f t="shared" si="39"/>
        <v>281.8423666163668</v>
      </c>
      <c r="C527">
        <f t="shared" si="40"/>
        <v>-11.827642322072045</v>
      </c>
      <c r="D527">
        <f t="shared" si="41"/>
        <v>13.303476403600623</v>
      </c>
      <c r="E527" s="7">
        <f t="shared" si="42"/>
        <v>-7.8972033092818847</v>
      </c>
    </row>
    <row r="528" spans="1:5" x14ac:dyDescent="0.25">
      <c r="A528">
        <v>502</v>
      </c>
      <c r="B528">
        <f t="shared" si="39"/>
        <v>282.73960212857133</v>
      </c>
      <c r="C528">
        <f t="shared" si="40"/>
        <v>-11.924557312946309</v>
      </c>
      <c r="D528">
        <f t="shared" si="41"/>
        <v>13.457244337565992</v>
      </c>
      <c r="E528" s="7">
        <f t="shared" si="42"/>
        <v>-8.0614403103930101</v>
      </c>
    </row>
    <row r="529" spans="1:5" x14ac:dyDescent="0.25">
      <c r="A529">
        <v>503</v>
      </c>
      <c r="B529">
        <f t="shared" si="39"/>
        <v>283.63692937923724</v>
      </c>
      <c r="C529">
        <f t="shared" si="40"/>
        <v>-12.021472303820577</v>
      </c>
      <c r="D529">
        <f t="shared" si="41"/>
        <v>13.612256355525602</v>
      </c>
      <c r="E529" s="7">
        <f t="shared" si="42"/>
        <v>-8.2275974297422145</v>
      </c>
    </row>
    <row r="530" spans="1:5" x14ac:dyDescent="0.25">
      <c r="A530">
        <v>504</v>
      </c>
      <c r="B530">
        <f t="shared" si="39"/>
        <v>284.53434721522382</v>
      </c>
      <c r="C530">
        <f t="shared" si="40"/>
        <v>-12.118387294694845</v>
      </c>
      <c r="D530">
        <f t="shared" si="41"/>
        <v>13.768512457479453</v>
      </c>
      <c r="E530" s="7">
        <f t="shared" si="42"/>
        <v>-8.3956903316969864</v>
      </c>
    </row>
    <row r="531" spans="1:5" x14ac:dyDescent="0.25">
      <c r="A531">
        <v>505</v>
      </c>
      <c r="B531">
        <f t="shared" si="39"/>
        <v>285.43185449836596</v>
      </c>
      <c r="C531">
        <f t="shared" si="40"/>
        <v>-12.215302285569109</v>
      </c>
      <c r="D531">
        <f t="shared" si="41"/>
        <v>13.926012643427544</v>
      </c>
      <c r="E531" s="7">
        <f t="shared" si="42"/>
        <v>-8.5657346806248142</v>
      </c>
    </row>
    <row r="532" spans="1:5" x14ac:dyDescent="0.25">
      <c r="A532">
        <v>506</v>
      </c>
      <c r="B532">
        <f t="shared" si="39"/>
        <v>286.32945010527629</v>
      </c>
      <c r="C532">
        <f t="shared" si="40"/>
        <v>-12.312217276443377</v>
      </c>
      <c r="D532">
        <f t="shared" si="41"/>
        <v>14.08475691336988</v>
      </c>
      <c r="E532" s="7">
        <f t="shared" si="42"/>
        <v>-8.73774614089319</v>
      </c>
    </row>
    <row r="533" spans="1:5" x14ac:dyDescent="0.25">
      <c r="A533">
        <v>507</v>
      </c>
      <c r="B533">
        <f t="shared" si="39"/>
        <v>287.22713292714849</v>
      </c>
      <c r="C533">
        <f t="shared" si="40"/>
        <v>-12.409132267317645</v>
      </c>
      <c r="D533">
        <f t="shared" si="41"/>
        <v>14.244745267306453</v>
      </c>
      <c r="E533" s="7">
        <f t="shared" si="42"/>
        <v>-8.9117403768695951</v>
      </c>
    </row>
    <row r="534" spans="1:5" x14ac:dyDescent="0.25">
      <c r="A534">
        <v>508</v>
      </c>
      <c r="B534">
        <f t="shared" si="39"/>
        <v>288.12490186956393</v>
      </c>
      <c r="C534">
        <f t="shared" si="40"/>
        <v>-12.506047258191909</v>
      </c>
      <c r="D534">
        <f t="shared" si="41"/>
        <v>14.40597770523727</v>
      </c>
      <c r="E534" s="7">
        <f t="shared" si="42"/>
        <v>-9.0877330529215143</v>
      </c>
    </row>
    <row r="535" spans="1:5" x14ac:dyDescent="0.25">
      <c r="A535">
        <v>509</v>
      </c>
      <c r="B535">
        <f t="shared" si="39"/>
        <v>289.02275585230075</v>
      </c>
      <c r="C535">
        <f t="shared" si="40"/>
        <v>-12.602962249066177</v>
      </c>
      <c r="D535">
        <f t="shared" si="41"/>
        <v>14.568454227162327</v>
      </c>
      <c r="E535" s="7">
        <f t="shared" si="42"/>
        <v>-9.2657398334164363</v>
      </c>
    </row>
    <row r="536" spans="1:5" x14ac:dyDescent="0.25">
      <c r="A536">
        <v>510</v>
      </c>
      <c r="B536">
        <f t="shared" si="39"/>
        <v>289.92069380914592</v>
      </c>
      <c r="C536">
        <f t="shared" si="40"/>
        <v>-12.699877239940445</v>
      </c>
      <c r="D536">
        <f t="shared" si="41"/>
        <v>14.732174833081626</v>
      </c>
      <c r="E536" s="7">
        <f t="shared" si="42"/>
        <v>-9.4457763827218493</v>
      </c>
    </row>
    <row r="537" spans="1:5" x14ac:dyDescent="0.25">
      <c r="A537">
        <v>511</v>
      </c>
      <c r="B537">
        <f t="shared" si="39"/>
        <v>290.81871468770851</v>
      </c>
      <c r="C537">
        <f t="shared" si="40"/>
        <v>-12.79679223081471</v>
      </c>
      <c r="D537">
        <f t="shared" si="41"/>
        <v>14.897139522995168</v>
      </c>
      <c r="E537" s="7">
        <f t="shared" si="42"/>
        <v>-9.6278583652052383</v>
      </c>
    </row>
    <row r="538" spans="1:5" x14ac:dyDescent="0.25">
      <c r="A538">
        <v>512</v>
      </c>
      <c r="B538">
        <f t="shared" si="39"/>
        <v>291.71681744923706</v>
      </c>
      <c r="C538">
        <f t="shared" si="40"/>
        <v>-12.893707221688977</v>
      </c>
      <c r="D538">
        <f t="shared" si="41"/>
        <v>15.063348296902948</v>
      </c>
      <c r="E538" s="7">
        <f t="shared" si="42"/>
        <v>-9.8120014452340953</v>
      </c>
    </row>
    <row r="539" spans="1:5" x14ac:dyDescent="0.25">
      <c r="A539">
        <v>513</v>
      </c>
      <c r="B539">
        <f t="shared" si="39"/>
        <v>292.61500106843846</v>
      </c>
      <c r="C539">
        <f t="shared" si="40"/>
        <v>-12.990622212563245</v>
      </c>
      <c r="D539">
        <f t="shared" si="41"/>
        <v>15.230801154804968</v>
      </c>
      <c r="E539" s="7">
        <f t="shared" si="42"/>
        <v>-9.9982212871759018</v>
      </c>
    </row>
    <row r="540" spans="1:5" x14ac:dyDescent="0.25">
      <c r="A540">
        <v>514</v>
      </c>
      <c r="B540">
        <f t="shared" ref="B540:B603" si="43">black_scholes_price($A540,$B$2,$B$3,$B$4,$B$5,$B$6,A$26)</f>
        <v>293.51326453329926</v>
      </c>
      <c r="C540">
        <f t="shared" ref="C540:C603" si="44">$C$10+$C$13*(A540-$B$1)</f>
        <v>-13.08753720343751</v>
      </c>
      <c r="D540">
        <f t="shared" ref="D540:D603" si="45">C540+0.5*$C$14*(A540-$B$1)^2</f>
        <v>15.399498096701237</v>
      </c>
      <c r="E540" s="7">
        <f t="shared" ref="E540:E603" si="46">D540+$C$19*(A540-$B$1)^3/6</f>
        <v>-10.186533555398139</v>
      </c>
    </row>
    <row r="541" spans="1:5" x14ac:dyDescent="0.25">
      <c r="A541">
        <v>515</v>
      </c>
      <c r="B541">
        <f t="shared" si="43"/>
        <v>294.41160684490978</v>
      </c>
      <c r="C541">
        <f t="shared" si="44"/>
        <v>-13.184452194311778</v>
      </c>
      <c r="D541">
        <f t="shared" si="45"/>
        <v>15.569439122591742</v>
      </c>
      <c r="E541" s="7">
        <f t="shared" si="46"/>
        <v>-10.376953914268302</v>
      </c>
    </row>
    <row r="542" spans="1:5" x14ac:dyDescent="0.25">
      <c r="A542">
        <v>516</v>
      </c>
      <c r="B542">
        <f t="shared" si="43"/>
        <v>295.31002701729034</v>
      </c>
      <c r="C542">
        <f t="shared" si="44"/>
        <v>-13.281367185186046</v>
      </c>
      <c r="D542">
        <f t="shared" si="45"/>
        <v>15.740624232476488</v>
      </c>
      <c r="E542" s="7">
        <f t="shared" si="46"/>
        <v>-10.569498028153877</v>
      </c>
    </row>
    <row r="543" spans="1:5" x14ac:dyDescent="0.25">
      <c r="A543">
        <v>517</v>
      </c>
      <c r="B543">
        <f t="shared" si="43"/>
        <v>296.20852407721969</v>
      </c>
      <c r="C543">
        <f t="shared" si="44"/>
        <v>-13.37828217606031</v>
      </c>
      <c r="D543">
        <f t="shared" si="45"/>
        <v>15.913053426355479</v>
      </c>
      <c r="E543" s="7">
        <f t="shared" si="46"/>
        <v>-10.764181561422347</v>
      </c>
    </row>
    <row r="544" spans="1:5" x14ac:dyDescent="0.25">
      <c r="A544">
        <v>518</v>
      </c>
      <c r="B544">
        <f t="shared" si="43"/>
        <v>297.10709706406601</v>
      </c>
      <c r="C544">
        <f t="shared" si="44"/>
        <v>-13.475197166934578</v>
      </c>
      <c r="D544">
        <f t="shared" si="45"/>
        <v>16.086726704228706</v>
      </c>
      <c r="E544" s="7">
        <f t="shared" si="46"/>
        <v>-10.96102017844121</v>
      </c>
    </row>
    <row r="545" spans="1:5" x14ac:dyDescent="0.25">
      <c r="A545">
        <v>519</v>
      </c>
      <c r="B545">
        <f t="shared" si="43"/>
        <v>298.00574502961985</v>
      </c>
      <c r="C545">
        <f t="shared" si="44"/>
        <v>-13.572112157808846</v>
      </c>
      <c r="D545">
        <f t="shared" si="45"/>
        <v>16.261644066096178</v>
      </c>
      <c r="E545" s="7">
        <f t="shared" si="46"/>
        <v>-11.160029543577938</v>
      </c>
    </row>
    <row r="546" spans="1:5" x14ac:dyDescent="0.25">
      <c r="A546">
        <v>520</v>
      </c>
      <c r="B546">
        <f t="shared" si="43"/>
        <v>298.90446703792986</v>
      </c>
      <c r="C546">
        <f t="shared" si="44"/>
        <v>-13.669027148683114</v>
      </c>
      <c r="D546">
        <f t="shared" si="45"/>
        <v>16.437805511957887</v>
      </c>
      <c r="E546" s="7">
        <f t="shared" si="46"/>
        <v>-11.361225321200024</v>
      </c>
    </row>
    <row r="547" spans="1:5" x14ac:dyDescent="0.25">
      <c r="A547">
        <v>521</v>
      </c>
      <c r="B547">
        <f t="shared" si="43"/>
        <v>299.80326216513993</v>
      </c>
      <c r="C547">
        <f t="shared" si="44"/>
        <v>-13.765942139557378</v>
      </c>
      <c r="D547">
        <f t="shared" si="45"/>
        <v>16.615211041813843</v>
      </c>
      <c r="E547" s="7">
        <f t="shared" si="46"/>
        <v>-11.564623175674949</v>
      </c>
    </row>
    <row r="548" spans="1:5" x14ac:dyDescent="0.25">
      <c r="A548">
        <v>522</v>
      </c>
      <c r="B548">
        <f t="shared" si="43"/>
        <v>300.70212949932898</v>
      </c>
      <c r="C548">
        <f t="shared" si="44"/>
        <v>-13.862857130431646</v>
      </c>
      <c r="D548">
        <f t="shared" si="45"/>
        <v>16.793860655664037</v>
      </c>
      <c r="E548" s="7">
        <f t="shared" si="46"/>
        <v>-11.770238771370213</v>
      </c>
    </row>
    <row r="549" spans="1:5" x14ac:dyDescent="0.25">
      <c r="A549">
        <v>523</v>
      </c>
      <c r="B549">
        <f t="shared" si="43"/>
        <v>301.6010681403535</v>
      </c>
      <c r="C549">
        <f t="shared" si="44"/>
        <v>-13.959772121305914</v>
      </c>
      <c r="D549">
        <f t="shared" si="45"/>
        <v>16.973754353508475</v>
      </c>
      <c r="E549" s="7">
        <f t="shared" si="46"/>
        <v>-11.978087772653289</v>
      </c>
    </row>
    <row r="550" spans="1:5" x14ac:dyDescent="0.25">
      <c r="A550">
        <v>524</v>
      </c>
      <c r="B550">
        <f t="shared" si="43"/>
        <v>302.50007719969062</v>
      </c>
      <c r="C550">
        <f t="shared" si="44"/>
        <v>-14.056687112180178</v>
      </c>
      <c r="D550">
        <f t="shared" si="45"/>
        <v>17.154892135347154</v>
      </c>
      <c r="E550" s="7">
        <f t="shared" si="46"/>
        <v>-12.188185843891674</v>
      </c>
    </row>
    <row r="551" spans="1:5" x14ac:dyDescent="0.25">
      <c r="A551">
        <v>525</v>
      </c>
      <c r="B551">
        <f t="shared" si="43"/>
        <v>303.39915580028463</v>
      </c>
      <c r="C551">
        <f t="shared" si="44"/>
        <v>-14.153602103054446</v>
      </c>
      <c r="D551">
        <f t="shared" si="45"/>
        <v>17.337274001180074</v>
      </c>
      <c r="E551" s="7">
        <f t="shared" si="46"/>
        <v>-12.400548649452848</v>
      </c>
    </row>
    <row r="552" spans="1:5" x14ac:dyDescent="0.25">
      <c r="A552">
        <v>526</v>
      </c>
      <c r="B552">
        <f t="shared" si="43"/>
        <v>304.29830307639531</v>
      </c>
      <c r="C552">
        <f t="shared" si="44"/>
        <v>-14.250517093928714</v>
      </c>
      <c r="D552">
        <f t="shared" si="45"/>
        <v>17.520899951007234</v>
      </c>
      <c r="E552" s="7">
        <f t="shared" si="46"/>
        <v>-12.615191853704296</v>
      </c>
    </row>
    <row r="553" spans="1:5" x14ac:dyDescent="0.25">
      <c r="A553">
        <v>527</v>
      </c>
      <c r="B553">
        <f t="shared" si="43"/>
        <v>305.19751817344775</v>
      </c>
      <c r="C553">
        <f t="shared" si="44"/>
        <v>-14.347432084802978</v>
      </c>
      <c r="D553">
        <f t="shared" si="45"/>
        <v>17.705769984828638</v>
      </c>
      <c r="E553" s="7">
        <f t="shared" si="46"/>
        <v>-12.832131121013514</v>
      </c>
    </row>
    <row r="554" spans="1:5" x14ac:dyDescent="0.25">
      <c r="A554">
        <v>528</v>
      </c>
      <c r="B554">
        <f t="shared" si="43"/>
        <v>306.09680024788508</v>
      </c>
      <c r="C554">
        <f t="shared" si="44"/>
        <v>-14.444347075677246</v>
      </c>
      <c r="D554">
        <f t="shared" si="45"/>
        <v>17.89188410264428</v>
      </c>
      <c r="E554" s="7">
        <f t="shared" si="46"/>
        <v>-13.051382115747984</v>
      </c>
    </row>
    <row r="555" spans="1:5" x14ac:dyDescent="0.25">
      <c r="A555">
        <v>529</v>
      </c>
      <c r="B555">
        <f t="shared" si="43"/>
        <v>306.9961484670219</v>
      </c>
      <c r="C555">
        <f t="shared" si="44"/>
        <v>-14.541262066551514</v>
      </c>
      <c r="D555">
        <f t="shared" si="45"/>
        <v>18.079242304454166</v>
      </c>
      <c r="E555" s="7">
        <f t="shared" si="46"/>
        <v>-13.27296050227519</v>
      </c>
    </row>
    <row r="556" spans="1:5" x14ac:dyDescent="0.25">
      <c r="A556">
        <v>530</v>
      </c>
      <c r="B556">
        <f t="shared" si="43"/>
        <v>307.89556200890115</v>
      </c>
      <c r="C556">
        <f t="shared" si="44"/>
        <v>-14.638177057425779</v>
      </c>
      <c r="D556">
        <f t="shared" si="45"/>
        <v>18.267844590258292</v>
      </c>
      <c r="E556" s="7">
        <f t="shared" si="46"/>
        <v>-13.496881944962624</v>
      </c>
    </row>
    <row r="557" spans="1:5" x14ac:dyDescent="0.25">
      <c r="A557">
        <v>531</v>
      </c>
      <c r="B557">
        <f t="shared" si="43"/>
        <v>308.79504006215188</v>
      </c>
      <c r="C557">
        <f t="shared" si="44"/>
        <v>-14.735092048300046</v>
      </c>
      <c r="D557">
        <f t="shared" si="45"/>
        <v>18.457690960056659</v>
      </c>
      <c r="E557" s="7">
        <f t="shared" si="46"/>
        <v>-13.723162108177767</v>
      </c>
    </row>
    <row r="558" spans="1:5" x14ac:dyDescent="0.25">
      <c r="A558">
        <v>532</v>
      </c>
      <c r="B558">
        <f t="shared" si="43"/>
        <v>309.69458182584879</v>
      </c>
      <c r="C558">
        <f t="shared" si="44"/>
        <v>-14.832007039174314</v>
      </c>
      <c r="D558">
        <f t="shared" si="45"/>
        <v>18.648781413849264</v>
      </c>
      <c r="E558" s="7">
        <f t="shared" si="46"/>
        <v>-13.951816656288116</v>
      </c>
    </row>
    <row r="559" spans="1:5" x14ac:dyDescent="0.25">
      <c r="A559">
        <v>533</v>
      </c>
      <c r="B559">
        <f t="shared" si="43"/>
        <v>310.59418650937494</v>
      </c>
      <c r="C559">
        <f t="shared" si="44"/>
        <v>-14.928922030048579</v>
      </c>
      <c r="D559">
        <f t="shared" si="45"/>
        <v>18.841115951636116</v>
      </c>
      <c r="E559" s="7">
        <f t="shared" si="46"/>
        <v>-14.182861253661141</v>
      </c>
    </row>
    <row r="560" spans="1:5" x14ac:dyDescent="0.25">
      <c r="A560">
        <v>534</v>
      </c>
      <c r="B560">
        <f t="shared" si="43"/>
        <v>311.49385333228497</v>
      </c>
      <c r="C560">
        <f t="shared" si="44"/>
        <v>-15.025837020922847</v>
      </c>
      <c r="D560">
        <f t="shared" si="45"/>
        <v>19.034694573417209</v>
      </c>
      <c r="E560" s="7">
        <f t="shared" si="46"/>
        <v>-14.416311564664337</v>
      </c>
    </row>
    <row r="561" spans="1:5" x14ac:dyDescent="0.25">
      <c r="A561">
        <v>535</v>
      </c>
      <c r="B561">
        <f t="shared" si="43"/>
        <v>312.39358152417049</v>
      </c>
      <c r="C561">
        <f t="shared" si="44"/>
        <v>-15.122752011797115</v>
      </c>
      <c r="D561">
        <f t="shared" si="45"/>
        <v>19.229517279192539</v>
      </c>
      <c r="E561" s="7">
        <f t="shared" si="46"/>
        <v>-14.652183253665203</v>
      </c>
    </row>
    <row r="562" spans="1:5" x14ac:dyDescent="0.25">
      <c r="A562">
        <v>536</v>
      </c>
      <c r="B562">
        <f t="shared" si="43"/>
        <v>313.29337032452759</v>
      </c>
      <c r="C562">
        <f t="shared" si="44"/>
        <v>-15.219667002671379</v>
      </c>
      <c r="D562">
        <f t="shared" si="45"/>
        <v>19.425584068962117</v>
      </c>
      <c r="E562" s="7">
        <f t="shared" si="46"/>
        <v>-14.890491985031204</v>
      </c>
    </row>
    <row r="563" spans="1:5" x14ac:dyDescent="0.25">
      <c r="A563">
        <v>537</v>
      </c>
      <c r="B563">
        <f t="shared" si="43"/>
        <v>314.19321898262604</v>
      </c>
      <c r="C563">
        <f t="shared" si="44"/>
        <v>-15.316581993545647</v>
      </c>
      <c r="D563">
        <f t="shared" si="45"/>
        <v>19.622894942725935</v>
      </c>
      <c r="E563" s="7">
        <f t="shared" si="46"/>
        <v>-15.131253423129841</v>
      </c>
    </row>
    <row r="564" spans="1:5" x14ac:dyDescent="0.25">
      <c r="A564">
        <v>538</v>
      </c>
      <c r="B564">
        <f t="shared" si="43"/>
        <v>315.09312675738011</v>
      </c>
      <c r="C564">
        <f t="shared" si="44"/>
        <v>-15.413496984419915</v>
      </c>
      <c r="D564">
        <f t="shared" si="45"/>
        <v>19.821449900483991</v>
      </c>
      <c r="E564" s="7">
        <f t="shared" si="46"/>
        <v>-15.374483232328593</v>
      </c>
    </row>
    <row r="565" spans="1:5" x14ac:dyDescent="0.25">
      <c r="A565">
        <v>539</v>
      </c>
      <c r="B565">
        <f t="shared" si="43"/>
        <v>315.99309291722102</v>
      </c>
      <c r="C565">
        <f t="shared" si="44"/>
        <v>-15.510411975294179</v>
      </c>
      <c r="D565">
        <f t="shared" si="45"/>
        <v>20.021248942236287</v>
      </c>
      <c r="E565" s="7">
        <f t="shared" si="46"/>
        <v>-15.620197076994959</v>
      </c>
    </row>
    <row r="566" spans="1:5" x14ac:dyDescent="0.25">
      <c r="A566">
        <v>540</v>
      </c>
      <c r="B566">
        <f t="shared" si="43"/>
        <v>316.89311673997145</v>
      </c>
      <c r="C566">
        <f t="shared" si="44"/>
        <v>-15.607326966168447</v>
      </c>
      <c r="D566">
        <f t="shared" si="45"/>
        <v>20.222292067982831</v>
      </c>
      <c r="E566" s="7">
        <f t="shared" si="46"/>
        <v>-15.868410621496412</v>
      </c>
    </row>
    <row r="567" spans="1:5" x14ac:dyDescent="0.25">
      <c r="A567">
        <v>541</v>
      </c>
      <c r="B567">
        <f t="shared" si="43"/>
        <v>317.79319751272135</v>
      </c>
      <c r="C567">
        <f t="shared" si="44"/>
        <v>-15.704241957042715</v>
      </c>
      <c r="D567">
        <f t="shared" si="45"/>
        <v>20.424579277723605</v>
      </c>
      <c r="E567" s="7">
        <f t="shared" si="46"/>
        <v>-16.119139530200453</v>
      </c>
    </row>
    <row r="568" spans="1:5" x14ac:dyDescent="0.25">
      <c r="A568">
        <v>542</v>
      </c>
      <c r="B568">
        <f t="shared" si="43"/>
        <v>318.69333453170589</v>
      </c>
      <c r="C568">
        <f t="shared" si="44"/>
        <v>-15.801156947916979</v>
      </c>
      <c r="D568">
        <f t="shared" si="45"/>
        <v>20.628110571458635</v>
      </c>
      <c r="E568" s="7">
        <f t="shared" si="46"/>
        <v>-16.372399467474544</v>
      </c>
    </row>
    <row r="569" spans="1:5" x14ac:dyDescent="0.25">
      <c r="A569">
        <v>543</v>
      </c>
      <c r="B569">
        <f t="shared" si="43"/>
        <v>319.59352710218445</v>
      </c>
      <c r="C569">
        <f t="shared" si="44"/>
        <v>-15.898071938791247</v>
      </c>
      <c r="D569">
        <f t="shared" si="45"/>
        <v>20.832885949187897</v>
      </c>
      <c r="E569" s="7">
        <f t="shared" si="46"/>
        <v>-16.628206097686196</v>
      </c>
    </row>
    <row r="570" spans="1:5" x14ac:dyDescent="0.25">
      <c r="A570">
        <v>544</v>
      </c>
      <c r="B570">
        <f t="shared" si="43"/>
        <v>320.49377453832165</v>
      </c>
      <c r="C570">
        <f t="shared" si="44"/>
        <v>-15.994986929665515</v>
      </c>
      <c r="D570">
        <f t="shared" si="45"/>
        <v>21.038905410911397</v>
      </c>
      <c r="E570" s="7">
        <f t="shared" si="46"/>
        <v>-16.8865750852029</v>
      </c>
    </row>
    <row r="571" spans="1:5" x14ac:dyDescent="0.25">
      <c r="A571">
        <v>545</v>
      </c>
      <c r="B571">
        <f t="shared" si="43"/>
        <v>321.39407616307005</v>
      </c>
      <c r="C571">
        <f t="shared" si="44"/>
        <v>-16.091901920539783</v>
      </c>
      <c r="D571">
        <f t="shared" si="45"/>
        <v>21.246168956629148</v>
      </c>
      <c r="E571" s="7">
        <f t="shared" si="46"/>
        <v>-17.147522094392109</v>
      </c>
    </row>
    <row r="572" spans="1:5" x14ac:dyDescent="0.25">
      <c r="A572">
        <v>546</v>
      </c>
      <c r="B572">
        <f t="shared" si="43"/>
        <v>322.29443130805384</v>
      </c>
      <c r="C572">
        <f t="shared" si="44"/>
        <v>-16.188816911414047</v>
      </c>
      <c r="D572">
        <f t="shared" si="45"/>
        <v>21.454676586341133</v>
      </c>
      <c r="E572" s="7">
        <f t="shared" si="46"/>
        <v>-17.411062789621351</v>
      </c>
    </row>
    <row r="573" spans="1:5" x14ac:dyDescent="0.25">
      <c r="A573">
        <v>547</v>
      </c>
      <c r="B573">
        <f t="shared" si="43"/>
        <v>323.19483931345508</v>
      </c>
      <c r="C573">
        <f t="shared" si="44"/>
        <v>-16.285731902288315</v>
      </c>
      <c r="D573">
        <f t="shared" si="45"/>
        <v>21.664428300047366</v>
      </c>
      <c r="E573" s="7">
        <f t="shared" si="46"/>
        <v>-17.677212835258079</v>
      </c>
    </row>
    <row r="574" spans="1:5" x14ac:dyDescent="0.25">
      <c r="A574">
        <v>548</v>
      </c>
      <c r="B574">
        <f t="shared" si="43"/>
        <v>324.09529952790041</v>
      </c>
      <c r="C574">
        <f t="shared" si="44"/>
        <v>-16.382646893162583</v>
      </c>
      <c r="D574">
        <f t="shared" si="45"/>
        <v>21.875424097747835</v>
      </c>
      <c r="E574" s="7">
        <f t="shared" si="46"/>
        <v>-17.945987895669798</v>
      </c>
    </row>
    <row r="575" spans="1:5" x14ac:dyDescent="0.25">
      <c r="A575">
        <v>549</v>
      </c>
      <c r="B575">
        <f t="shared" si="43"/>
        <v>324.99581130834986</v>
      </c>
      <c r="C575">
        <f t="shared" si="44"/>
        <v>-16.479561884036848</v>
      </c>
      <c r="D575">
        <f t="shared" si="45"/>
        <v>22.087663979442546</v>
      </c>
      <c r="E575" s="7">
        <f t="shared" si="46"/>
        <v>-18.217403635223988</v>
      </c>
    </row>
    <row r="576" spans="1:5" x14ac:dyDescent="0.25">
      <c r="A576">
        <v>550</v>
      </c>
      <c r="B576">
        <f t="shared" si="43"/>
        <v>325.89637401998698</v>
      </c>
      <c r="C576">
        <f t="shared" si="44"/>
        <v>-16.576476874911116</v>
      </c>
      <c r="D576">
        <f t="shared" si="45"/>
        <v>22.301147945131504</v>
      </c>
      <c r="E576" s="7">
        <f t="shared" si="46"/>
        <v>-18.491475718288136</v>
      </c>
    </row>
    <row r="577" spans="1:5" x14ac:dyDescent="0.25">
      <c r="A577">
        <v>551</v>
      </c>
      <c r="B577">
        <f t="shared" si="43"/>
        <v>326.79698703611098</v>
      </c>
      <c r="C577">
        <f t="shared" si="44"/>
        <v>-16.673391865785383</v>
      </c>
      <c r="D577">
        <f t="shared" si="45"/>
        <v>22.515875994814692</v>
      </c>
      <c r="E577" s="7">
        <f t="shared" si="46"/>
        <v>-18.768219809229741</v>
      </c>
    </row>
    <row r="578" spans="1:5" x14ac:dyDescent="0.25">
      <c r="A578">
        <v>552</v>
      </c>
      <c r="B578">
        <f t="shared" si="43"/>
        <v>327.69764973802927</v>
      </c>
      <c r="C578">
        <f t="shared" si="44"/>
        <v>-16.770306856659648</v>
      </c>
      <c r="D578">
        <f t="shared" si="45"/>
        <v>22.731848128492135</v>
      </c>
      <c r="E578" s="7">
        <f t="shared" si="46"/>
        <v>-19.047651572416274</v>
      </c>
    </row>
    <row r="579" spans="1:5" x14ac:dyDescent="0.25">
      <c r="A579">
        <v>553</v>
      </c>
      <c r="B579">
        <f t="shared" si="43"/>
        <v>328.5983615149521</v>
      </c>
      <c r="C579">
        <f t="shared" si="44"/>
        <v>-16.867221847533916</v>
      </c>
      <c r="D579">
        <f t="shared" si="45"/>
        <v>22.949064346163812</v>
      </c>
      <c r="E579" s="7">
        <f t="shared" si="46"/>
        <v>-19.329786672215224</v>
      </c>
    </row>
    <row r="580" spans="1:5" x14ac:dyDescent="0.25">
      <c r="A580">
        <v>554</v>
      </c>
      <c r="B580">
        <f t="shared" si="43"/>
        <v>329.49912176388915</v>
      </c>
      <c r="C580">
        <f t="shared" si="44"/>
        <v>-16.964136838408184</v>
      </c>
      <c r="D580">
        <f t="shared" si="45"/>
        <v>23.167524647829726</v>
      </c>
      <c r="E580" s="7">
        <f t="shared" si="46"/>
        <v>-19.61464077299409</v>
      </c>
    </row>
    <row r="581" spans="1:5" x14ac:dyDescent="0.25">
      <c r="A581">
        <v>555</v>
      </c>
      <c r="B581">
        <f t="shared" si="43"/>
        <v>330.39992988954577</v>
      </c>
      <c r="C581">
        <f t="shared" si="44"/>
        <v>-17.061051829282448</v>
      </c>
      <c r="D581">
        <f t="shared" si="45"/>
        <v>23.387229033489888</v>
      </c>
      <c r="E581" s="7">
        <f t="shared" si="46"/>
        <v>-19.902229539120349</v>
      </c>
    </row>
    <row r="582" spans="1:5" x14ac:dyDescent="0.25">
      <c r="A582">
        <v>556</v>
      </c>
      <c r="B582">
        <f t="shared" si="43"/>
        <v>331.30078530422315</v>
      </c>
      <c r="C582">
        <f t="shared" si="44"/>
        <v>-17.157966820156716</v>
      </c>
      <c r="D582">
        <f t="shared" si="45"/>
        <v>23.60817750314429</v>
      </c>
      <c r="E582" s="7">
        <f t="shared" si="46"/>
        <v>-20.192568634961482</v>
      </c>
    </row>
    <row r="583" spans="1:5" x14ac:dyDescent="0.25">
      <c r="A583">
        <v>557</v>
      </c>
      <c r="B583">
        <f t="shared" si="43"/>
        <v>332.20168742771705</v>
      </c>
      <c r="C583">
        <f t="shared" si="44"/>
        <v>-17.254881811030984</v>
      </c>
      <c r="D583">
        <f t="shared" si="45"/>
        <v>23.83037005679293</v>
      </c>
      <c r="E583" s="7">
        <f t="shared" si="46"/>
        <v>-20.485673724884983</v>
      </c>
    </row>
    <row r="584" spans="1:5" x14ac:dyDescent="0.25">
      <c r="A584">
        <v>558</v>
      </c>
      <c r="B584">
        <f t="shared" si="43"/>
        <v>333.10263568721996</v>
      </c>
      <c r="C584">
        <f t="shared" si="44"/>
        <v>-17.351796801905248</v>
      </c>
      <c r="D584">
        <f t="shared" si="45"/>
        <v>24.053806694435817</v>
      </c>
      <c r="E584" s="7">
        <f t="shared" si="46"/>
        <v>-20.781560473258342</v>
      </c>
    </row>
    <row r="585" spans="1:5" x14ac:dyDescent="0.25">
      <c r="A585">
        <v>559</v>
      </c>
      <c r="B585">
        <f t="shared" si="43"/>
        <v>334.00362951722428</v>
      </c>
      <c r="C585">
        <f t="shared" si="44"/>
        <v>-17.448711792779516</v>
      </c>
      <c r="D585">
        <f t="shared" si="45"/>
        <v>24.278487416072945</v>
      </c>
      <c r="E585" s="7">
        <f t="shared" si="46"/>
        <v>-21.080244544449041</v>
      </c>
    </row>
    <row r="586" spans="1:5" x14ac:dyDescent="0.25">
      <c r="A586">
        <v>560</v>
      </c>
      <c r="B586">
        <f t="shared" si="43"/>
        <v>334.90466835942516</v>
      </c>
      <c r="C586">
        <f t="shared" si="44"/>
        <v>-17.545626783653784</v>
      </c>
      <c r="D586">
        <f t="shared" si="45"/>
        <v>24.50441222170431</v>
      </c>
      <c r="E586" s="7">
        <f t="shared" si="46"/>
        <v>-21.381741602824558</v>
      </c>
    </row>
    <row r="587" spans="1:5" x14ac:dyDescent="0.25">
      <c r="A587">
        <v>561</v>
      </c>
      <c r="B587">
        <f t="shared" si="43"/>
        <v>335.80575166262702</v>
      </c>
      <c r="C587">
        <f t="shared" si="44"/>
        <v>-17.642541774528048</v>
      </c>
      <c r="D587">
        <f t="shared" si="45"/>
        <v>24.731581111329923</v>
      </c>
      <c r="E587" s="7">
        <f t="shared" si="46"/>
        <v>-21.6860673127524</v>
      </c>
    </row>
    <row r="588" spans="1:5" x14ac:dyDescent="0.25">
      <c r="A588">
        <v>562</v>
      </c>
      <c r="B588">
        <f t="shared" si="43"/>
        <v>336.70687888264968</v>
      </c>
      <c r="C588">
        <f t="shared" si="44"/>
        <v>-17.739456765402316</v>
      </c>
      <c r="D588">
        <f t="shared" si="45"/>
        <v>24.95999408494977</v>
      </c>
      <c r="E588" s="7">
        <f t="shared" si="46"/>
        <v>-21.993237338600046</v>
      </c>
    </row>
    <row r="589" spans="1:5" x14ac:dyDescent="0.25">
      <c r="A589">
        <v>563</v>
      </c>
      <c r="B589">
        <f t="shared" si="43"/>
        <v>337.60804948223614</v>
      </c>
      <c r="C589">
        <f t="shared" si="44"/>
        <v>-17.836371756276584</v>
      </c>
      <c r="D589">
        <f t="shared" si="45"/>
        <v>25.189651142563861</v>
      </c>
      <c r="E589" s="7">
        <f t="shared" si="46"/>
        <v>-22.303267344734969</v>
      </c>
    </row>
    <row r="590" spans="1:5" x14ac:dyDescent="0.25">
      <c r="A590">
        <v>564</v>
      </c>
      <c r="B590">
        <f t="shared" si="43"/>
        <v>338.50926293096217</v>
      </c>
      <c r="C590">
        <f t="shared" si="44"/>
        <v>-17.933286747150849</v>
      </c>
      <c r="D590">
        <f t="shared" si="45"/>
        <v>25.420552284172192</v>
      </c>
      <c r="E590" s="7">
        <f t="shared" si="46"/>
        <v>-22.616172995524675</v>
      </c>
    </row>
    <row r="591" spans="1:5" x14ac:dyDescent="0.25">
      <c r="A591">
        <v>565</v>
      </c>
      <c r="B591">
        <f t="shared" si="43"/>
        <v>339.41051870514605</v>
      </c>
      <c r="C591">
        <f t="shared" si="44"/>
        <v>-18.030201738025116</v>
      </c>
      <c r="D591">
        <f t="shared" si="45"/>
        <v>25.652697509774764</v>
      </c>
      <c r="E591" s="7">
        <f t="shared" si="46"/>
        <v>-22.931969955336644</v>
      </c>
    </row>
    <row r="592" spans="1:5" x14ac:dyDescent="0.25">
      <c r="A592">
        <v>566</v>
      </c>
      <c r="B592">
        <f t="shared" si="43"/>
        <v>340.31181628776051</v>
      </c>
      <c r="C592">
        <f t="shared" si="44"/>
        <v>-18.127116728899384</v>
      </c>
      <c r="D592">
        <f t="shared" si="45"/>
        <v>25.886086819371581</v>
      </c>
      <c r="E592" s="7">
        <f t="shared" si="46"/>
        <v>-23.250673888538355</v>
      </c>
    </row>
    <row r="593" spans="1:5" x14ac:dyDescent="0.25">
      <c r="A593">
        <v>567</v>
      </c>
      <c r="B593">
        <f t="shared" si="43"/>
        <v>341.21315516834522</v>
      </c>
      <c r="C593">
        <f t="shared" si="44"/>
        <v>-18.224031719773649</v>
      </c>
      <c r="D593">
        <f t="shared" si="45"/>
        <v>26.120720212962638</v>
      </c>
      <c r="E593" s="7">
        <f t="shared" si="46"/>
        <v>-23.572300459497306</v>
      </c>
    </row>
    <row r="594" spans="1:5" x14ac:dyDescent="0.25">
      <c r="A594">
        <v>568</v>
      </c>
      <c r="B594">
        <f t="shared" si="43"/>
        <v>342.11453484292099</v>
      </c>
      <c r="C594">
        <f t="shared" si="44"/>
        <v>-18.320946710647917</v>
      </c>
      <c r="D594">
        <f t="shared" si="45"/>
        <v>26.356597690547936</v>
      </c>
      <c r="E594" s="7">
        <f t="shared" si="46"/>
        <v>-23.89686533258098</v>
      </c>
    </row>
    <row r="595" spans="1:5" x14ac:dyDescent="0.25">
      <c r="A595">
        <v>569</v>
      </c>
      <c r="B595">
        <f t="shared" si="43"/>
        <v>343.01595481390473</v>
      </c>
      <c r="C595">
        <f t="shared" si="44"/>
        <v>-18.417861701522185</v>
      </c>
      <c r="D595">
        <f t="shared" si="45"/>
        <v>26.593719252127478</v>
      </c>
      <c r="E595" s="7">
        <f t="shared" si="46"/>
        <v>-24.224384172156846</v>
      </c>
    </row>
    <row r="596" spans="1:5" x14ac:dyDescent="0.25">
      <c r="A596">
        <v>570</v>
      </c>
      <c r="B596">
        <f t="shared" si="43"/>
        <v>343.91741459002503</v>
      </c>
      <c r="C596">
        <f t="shared" si="44"/>
        <v>-18.514776692396453</v>
      </c>
      <c r="D596">
        <f t="shared" si="45"/>
        <v>26.832084897701257</v>
      </c>
      <c r="E596" s="7">
        <f t="shared" si="46"/>
        <v>-24.554872642592429</v>
      </c>
    </row>
    <row r="597" spans="1:5" x14ac:dyDescent="0.25">
      <c r="A597">
        <v>571</v>
      </c>
      <c r="B597">
        <f t="shared" si="43"/>
        <v>344.81891368624042</v>
      </c>
      <c r="C597">
        <f t="shared" si="44"/>
        <v>-18.611691683270717</v>
      </c>
      <c r="D597">
        <f t="shared" si="45"/>
        <v>27.071694627269277</v>
      </c>
      <c r="E597" s="7">
        <f t="shared" si="46"/>
        <v>-24.888346408255185</v>
      </c>
    </row>
    <row r="598" spans="1:5" x14ac:dyDescent="0.25">
      <c r="A598">
        <v>572</v>
      </c>
      <c r="B598">
        <f t="shared" si="43"/>
        <v>345.72045162365725</v>
      </c>
      <c r="C598">
        <f t="shared" si="44"/>
        <v>-18.708606674144985</v>
      </c>
      <c r="D598">
        <f t="shared" si="45"/>
        <v>27.312548440831545</v>
      </c>
      <c r="E598" s="7">
        <f t="shared" si="46"/>
        <v>-25.224821133512609</v>
      </c>
    </row>
    <row r="599" spans="1:5" x14ac:dyDescent="0.25">
      <c r="A599">
        <v>573</v>
      </c>
      <c r="B599">
        <f t="shared" si="43"/>
        <v>346.62202792944936</v>
      </c>
      <c r="C599">
        <f t="shared" si="44"/>
        <v>-18.805521665019253</v>
      </c>
      <c r="D599">
        <f t="shared" si="45"/>
        <v>27.554646338388043</v>
      </c>
      <c r="E599" s="7">
        <f t="shared" si="46"/>
        <v>-25.564312482732195</v>
      </c>
    </row>
    <row r="600" spans="1:5" x14ac:dyDescent="0.25">
      <c r="A600">
        <v>574</v>
      </c>
      <c r="B600">
        <f t="shared" si="43"/>
        <v>347.52364213677856</v>
      </c>
      <c r="C600">
        <f t="shared" si="44"/>
        <v>-18.902436655893517</v>
      </c>
      <c r="D600">
        <f t="shared" si="45"/>
        <v>27.797988319938796</v>
      </c>
      <c r="E600" s="7">
        <f t="shared" si="46"/>
        <v>-25.906836120281405</v>
      </c>
    </row>
    <row r="601" spans="1:5" x14ac:dyDescent="0.25">
      <c r="A601">
        <v>575</v>
      </c>
      <c r="B601">
        <f t="shared" si="43"/>
        <v>348.42529378471625</v>
      </c>
      <c r="C601">
        <f t="shared" si="44"/>
        <v>-18.999351646767785</v>
      </c>
      <c r="D601">
        <f t="shared" si="45"/>
        <v>28.042574385483782</v>
      </c>
      <c r="E601" s="7">
        <f t="shared" si="46"/>
        <v>-26.252407710527763</v>
      </c>
    </row>
    <row r="602" spans="1:5" x14ac:dyDescent="0.25">
      <c r="A602">
        <v>576</v>
      </c>
      <c r="B602">
        <f t="shared" si="43"/>
        <v>349.3269824181661</v>
      </c>
      <c r="C602">
        <f t="shared" si="44"/>
        <v>-19.096266637642053</v>
      </c>
      <c r="D602">
        <f t="shared" si="45"/>
        <v>28.288404535023005</v>
      </c>
      <c r="E602" s="7">
        <f t="shared" si="46"/>
        <v>-26.601042917838733</v>
      </c>
    </row>
    <row r="603" spans="1:5" x14ac:dyDescent="0.25">
      <c r="A603">
        <v>577</v>
      </c>
      <c r="B603">
        <f t="shared" si="43"/>
        <v>350.22870758778811</v>
      </c>
      <c r="C603">
        <f t="shared" si="44"/>
        <v>-19.193181628516317</v>
      </c>
      <c r="D603">
        <f t="shared" si="45"/>
        <v>28.535478768556484</v>
      </c>
      <c r="E603" s="7">
        <f t="shared" si="46"/>
        <v>-26.952757406581792</v>
      </c>
    </row>
    <row r="604" spans="1:5" x14ac:dyDescent="0.25">
      <c r="A604">
        <v>578</v>
      </c>
      <c r="B604">
        <f t="shared" ref="B604:B626" si="47">black_scholes_price($A604,$B$2,$B$3,$B$4,$B$5,$B$6,A$26)</f>
        <v>351.13046884992337</v>
      </c>
      <c r="C604">
        <f t="shared" ref="C604:C626" si="48">$C$10+$C$13*(A604-$B$1)</f>
        <v>-19.290096619390585</v>
      </c>
      <c r="D604">
        <f t="shared" ref="D604:D626" si="49">C604+0.5*$C$14*(A604-$B$1)^2</f>
        <v>28.783797086084189</v>
      </c>
      <c r="E604" s="7">
        <f t="shared" ref="E604:E626" si="50">D604+$C$19*(A604-$B$1)^3/6</f>
        <v>-27.307566841124466</v>
      </c>
    </row>
    <row r="605" spans="1:5" x14ac:dyDescent="0.25">
      <c r="A605">
        <v>579</v>
      </c>
      <c r="B605">
        <f t="shared" si="47"/>
        <v>352.03226576651917</v>
      </c>
      <c r="C605">
        <f t="shared" si="48"/>
        <v>-19.387011610264853</v>
      </c>
      <c r="D605">
        <f t="shared" si="49"/>
        <v>29.033359487606145</v>
      </c>
      <c r="E605" s="7">
        <f t="shared" si="50"/>
        <v>-27.665486885834195</v>
      </c>
    </row>
    <row r="606" spans="1:5" x14ac:dyDescent="0.25">
      <c r="A606">
        <v>580</v>
      </c>
      <c r="B606">
        <f t="shared" si="47"/>
        <v>352.93409790505643</v>
      </c>
      <c r="C606">
        <f t="shared" si="48"/>
        <v>-19.483926601139117</v>
      </c>
      <c r="D606">
        <f t="shared" si="49"/>
        <v>29.284165973122342</v>
      </c>
      <c r="E606" s="7">
        <f t="shared" si="50"/>
        <v>-28.026533205078486</v>
      </c>
    </row>
    <row r="607" spans="1:5" x14ac:dyDescent="0.25">
      <c r="A607">
        <v>581</v>
      </c>
      <c r="B607">
        <f t="shared" si="47"/>
        <v>353.83596483847731</v>
      </c>
      <c r="C607">
        <f t="shared" si="48"/>
        <v>-19.580841592013385</v>
      </c>
      <c r="D607">
        <f t="shared" si="49"/>
        <v>29.536216542632772</v>
      </c>
      <c r="E607" s="7">
        <f t="shared" si="50"/>
        <v>-28.390721463224843</v>
      </c>
    </row>
    <row r="608" spans="1:5" x14ac:dyDescent="0.25">
      <c r="A608">
        <v>582</v>
      </c>
      <c r="B608">
        <f t="shared" si="47"/>
        <v>354.73786614511323</v>
      </c>
      <c r="C608">
        <f t="shared" si="48"/>
        <v>-19.677756582887653</v>
      </c>
      <c r="D608">
        <f t="shared" si="49"/>
        <v>29.789511196137454</v>
      </c>
      <c r="E608" s="7">
        <f t="shared" si="50"/>
        <v>-28.758067324640727</v>
      </c>
    </row>
    <row r="609" spans="1:5" x14ac:dyDescent="0.25">
      <c r="A609">
        <v>583</v>
      </c>
      <c r="B609">
        <f t="shared" si="47"/>
        <v>355.63980140861611</v>
      </c>
      <c r="C609">
        <f t="shared" si="48"/>
        <v>-19.774671573761918</v>
      </c>
      <c r="D609">
        <f t="shared" si="49"/>
        <v>30.044049933636369</v>
      </c>
      <c r="E609" s="7">
        <f t="shared" si="50"/>
        <v>-29.128586453693639</v>
      </c>
    </row>
    <row r="610" spans="1:5" x14ac:dyDescent="0.25">
      <c r="A610">
        <v>584</v>
      </c>
      <c r="B610">
        <f t="shared" si="47"/>
        <v>356.54177021788712</v>
      </c>
      <c r="C610">
        <f t="shared" si="48"/>
        <v>-19.871586564636186</v>
      </c>
      <c r="D610">
        <f t="shared" si="49"/>
        <v>30.299832755129533</v>
      </c>
      <c r="E610" s="7">
        <f t="shared" si="50"/>
        <v>-29.502294514751046</v>
      </c>
    </row>
    <row r="611" spans="1:5" x14ac:dyDescent="0.25">
      <c r="A611">
        <v>585</v>
      </c>
      <c r="B611">
        <f t="shared" si="47"/>
        <v>357.44377216700985</v>
      </c>
      <c r="C611">
        <f t="shared" si="48"/>
        <v>-19.968501555510453</v>
      </c>
      <c r="D611">
        <f t="shared" si="49"/>
        <v>30.556859660616933</v>
      </c>
      <c r="E611" s="7">
        <f t="shared" si="50"/>
        <v>-29.879207172180461</v>
      </c>
    </row>
    <row r="612" spans="1:5" x14ac:dyDescent="0.25">
      <c r="A612">
        <v>586</v>
      </c>
      <c r="B612">
        <f t="shared" si="47"/>
        <v>358.34580685518097</v>
      </c>
      <c r="C612">
        <f t="shared" si="48"/>
        <v>-20.065416546384718</v>
      </c>
      <c r="D612">
        <f t="shared" si="49"/>
        <v>30.815130650098574</v>
      </c>
      <c r="E612" s="7">
        <f t="shared" si="50"/>
        <v>-30.259340090349362</v>
      </c>
    </row>
    <row r="613" spans="1:5" x14ac:dyDescent="0.25">
      <c r="A613">
        <v>587</v>
      </c>
      <c r="B613">
        <f t="shared" si="47"/>
        <v>359.24787388664555</v>
      </c>
      <c r="C613">
        <f t="shared" si="48"/>
        <v>-20.162331537258986</v>
      </c>
      <c r="D613">
        <f t="shared" si="49"/>
        <v>31.074645723574456</v>
      </c>
      <c r="E613" s="7">
        <f t="shared" si="50"/>
        <v>-30.642708933625222</v>
      </c>
    </row>
    <row r="614" spans="1:5" x14ac:dyDescent="0.25">
      <c r="A614">
        <v>588</v>
      </c>
      <c r="B614">
        <f t="shared" si="47"/>
        <v>360.14997287063011</v>
      </c>
      <c r="C614">
        <f t="shared" si="48"/>
        <v>-20.259246528133254</v>
      </c>
      <c r="D614">
        <f t="shared" si="49"/>
        <v>31.335404881044582</v>
      </c>
      <c r="E614" s="7">
        <f t="shared" si="50"/>
        <v>-31.029329366375549</v>
      </c>
    </row>
    <row r="615" spans="1:5" x14ac:dyDescent="0.25">
      <c r="A615">
        <v>589</v>
      </c>
      <c r="B615">
        <f t="shared" si="47"/>
        <v>361.05210342127748</v>
      </c>
      <c r="C615">
        <f t="shared" si="48"/>
        <v>-20.356161519007518</v>
      </c>
      <c r="D615">
        <f t="shared" si="49"/>
        <v>31.597408122508948</v>
      </c>
      <c r="E615" s="7">
        <f t="shared" si="50"/>
        <v>-31.41921705296782</v>
      </c>
    </row>
    <row r="616" spans="1:5" x14ac:dyDescent="0.25">
      <c r="A616">
        <v>590</v>
      </c>
      <c r="B616">
        <f t="shared" si="47"/>
        <v>361.95426515758385</v>
      </c>
      <c r="C616">
        <f t="shared" si="48"/>
        <v>-20.453076509881786</v>
      </c>
      <c r="D616">
        <f t="shared" si="49"/>
        <v>31.860655447967556</v>
      </c>
      <c r="E616" s="7">
        <f t="shared" si="50"/>
        <v>-31.812387657769509</v>
      </c>
    </row>
    <row r="617" spans="1:5" x14ac:dyDescent="0.25">
      <c r="A617">
        <v>591</v>
      </c>
      <c r="B617">
        <f t="shared" si="47"/>
        <v>362.85645770333485</v>
      </c>
      <c r="C617">
        <f t="shared" si="48"/>
        <v>-20.549991500756054</v>
      </c>
      <c r="D617">
        <f t="shared" si="49"/>
        <v>32.125146857420404</v>
      </c>
      <c r="E617" s="7">
        <f t="shared" si="50"/>
        <v>-32.208856845148119</v>
      </c>
    </row>
    <row r="618" spans="1:5" x14ac:dyDescent="0.25">
      <c r="A618">
        <v>592</v>
      </c>
      <c r="B618">
        <f t="shared" si="47"/>
        <v>363.75868068704347</v>
      </c>
      <c r="C618">
        <f t="shared" si="48"/>
        <v>-20.646906491630318</v>
      </c>
      <c r="D618">
        <f t="shared" si="49"/>
        <v>32.3908823508675</v>
      </c>
      <c r="E618" s="7">
        <f t="shared" si="50"/>
        <v>-32.608640279471132</v>
      </c>
    </row>
    <row r="619" spans="1:5" x14ac:dyDescent="0.25">
      <c r="A619">
        <v>593</v>
      </c>
      <c r="B619">
        <f t="shared" si="47"/>
        <v>364.66093374188824</v>
      </c>
      <c r="C619">
        <f t="shared" si="48"/>
        <v>-20.743821482504586</v>
      </c>
      <c r="D619">
        <f t="shared" si="49"/>
        <v>32.657861928308833</v>
      </c>
      <c r="E619" s="7">
        <f t="shared" si="50"/>
        <v>-33.011753625106053</v>
      </c>
    </row>
    <row r="620" spans="1:5" x14ac:dyDescent="0.25">
      <c r="A620">
        <v>594</v>
      </c>
      <c r="B620">
        <f t="shared" si="47"/>
        <v>365.56321650565343</v>
      </c>
      <c r="C620">
        <f t="shared" si="48"/>
        <v>-20.840736473378854</v>
      </c>
      <c r="D620">
        <f t="shared" si="49"/>
        <v>32.926085589744403</v>
      </c>
      <c r="E620" s="7">
        <f t="shared" si="50"/>
        <v>-33.418212546420335</v>
      </c>
    </row>
    <row r="621" spans="1:5" x14ac:dyDescent="0.25">
      <c r="A621">
        <v>595</v>
      </c>
      <c r="B621">
        <f t="shared" si="47"/>
        <v>366.46552862066824</v>
      </c>
      <c r="C621">
        <f t="shared" si="48"/>
        <v>-20.937651464253122</v>
      </c>
      <c r="D621">
        <f t="shared" si="49"/>
        <v>33.195553335174218</v>
      </c>
      <c r="E621" s="7">
        <f t="shared" si="50"/>
        <v>-33.828032707781482</v>
      </c>
    </row>
    <row r="622" spans="1:5" x14ac:dyDescent="0.25">
      <c r="A622">
        <v>596</v>
      </c>
      <c r="B622">
        <f t="shared" si="47"/>
        <v>367.36786973374831</v>
      </c>
      <c r="C622">
        <f t="shared" si="48"/>
        <v>-21.034566455127386</v>
      </c>
      <c r="D622">
        <f t="shared" si="49"/>
        <v>33.466265164598269</v>
      </c>
      <c r="E622" s="7">
        <f t="shared" si="50"/>
        <v>-34.241229773556995</v>
      </c>
    </row>
    <row r="623" spans="1:5" x14ac:dyDescent="0.25">
      <c r="A623">
        <v>597</v>
      </c>
      <c r="B623">
        <f t="shared" si="47"/>
        <v>368.27023949613692</v>
      </c>
      <c r="C623">
        <f t="shared" si="48"/>
        <v>-21.131481446001654</v>
      </c>
      <c r="D623">
        <f t="shared" si="49"/>
        <v>33.738221078016565</v>
      </c>
      <c r="E623" s="7">
        <f t="shared" si="50"/>
        <v>-34.657819408114335</v>
      </c>
    </row>
    <row r="624" spans="1:5" x14ac:dyDescent="0.25">
      <c r="A624">
        <v>598</v>
      </c>
      <c r="B624">
        <f t="shared" si="47"/>
        <v>369.17263756344846</v>
      </c>
      <c r="C624">
        <f t="shared" si="48"/>
        <v>-21.228396436875922</v>
      </c>
      <c r="D624">
        <f t="shared" si="49"/>
        <v>34.011421075429112</v>
      </c>
      <c r="E624" s="7">
        <f t="shared" si="50"/>
        <v>-35.077817275820991</v>
      </c>
    </row>
    <row r="625" spans="1:5" x14ac:dyDescent="0.25">
      <c r="A625">
        <v>599</v>
      </c>
      <c r="B625">
        <f t="shared" si="47"/>
        <v>370.07506359561086</v>
      </c>
      <c r="C625">
        <f t="shared" si="48"/>
        <v>-21.325311427750187</v>
      </c>
      <c r="D625">
        <f t="shared" si="49"/>
        <v>34.285865156835889</v>
      </c>
      <c r="E625" s="7">
        <f t="shared" si="50"/>
        <v>-35.501239041044464</v>
      </c>
    </row>
    <row r="626" spans="1:5" x14ac:dyDescent="0.25">
      <c r="A626">
        <v>600</v>
      </c>
      <c r="B626">
        <f t="shared" si="47"/>
        <v>370.97751725680962</v>
      </c>
      <c r="C626">
        <f t="shared" si="48"/>
        <v>-21.422226418624454</v>
      </c>
      <c r="D626">
        <f t="shared" si="49"/>
        <v>34.561553322236911</v>
      </c>
      <c r="E626" s="7">
        <f t="shared" si="50"/>
        <v>-35.928100368152236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Lefèvre</dc:creator>
  <cp:lastModifiedBy>Corentin LEFEVRE</cp:lastModifiedBy>
  <dcterms:created xsi:type="dcterms:W3CDTF">2022-06-04T15:00:05Z</dcterms:created>
  <dcterms:modified xsi:type="dcterms:W3CDTF">2022-07-01T14:00:01Z</dcterms:modified>
</cp:coreProperties>
</file>